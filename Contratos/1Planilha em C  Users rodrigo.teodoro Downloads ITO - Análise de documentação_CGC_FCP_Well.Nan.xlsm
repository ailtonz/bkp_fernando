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c4c0dbb93f94d9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EstaPasta_de_trabalho" defaultThemeVersion="124226"/>
  <bookViews>
    <workbookView showSheetTabs="0" xWindow="0" yWindow="45" windowWidth="19155" windowHeight="8505"/>
  </bookViews>
  <sheets>
    <sheet name="IV" sheetId="1" r:id="rId1"/>
  </sheets>
  <externalReferences>
    <externalReference r:id="rId2"/>
  </externalReferences>
  <definedNames>
    <definedName name="Aparelhos">OFFSET([1]Aparelhos!$D$1,0,0,MATCH("*",[1]Aparelhos!$D:$D,-1))</definedName>
    <definedName name="AparelhosTratados">[1]Aparelhos!$D$1:$E$155</definedName>
    <definedName name="inicio_serv">OFFSET([1]Dados_Serv!$A$26,1,0,MATCH("*",[1]Dados_Serv!$A:$A,-1)-26)</definedName>
    <definedName name="Limpar4">IV!#REF!</definedName>
    <definedName name="Limpar5">IV!$B$14:$H$42</definedName>
    <definedName name="lista_unica_apa">[1]II!$C$7:$C$37</definedName>
    <definedName name="O_VlrVC2MF">[1]Dados_Serv!$B$11</definedName>
    <definedName name="O_VlrVC2Off">[1]Dados_Serv!$B$10</definedName>
    <definedName name="O_VlrVC2On">[1]Dados_Serv!$B$9</definedName>
    <definedName name="O_VlrVC3MF">[1]Dados_Serv!$B$14</definedName>
    <definedName name="O_VlrVC3off">[1]Dados_Serv!$B$13</definedName>
    <definedName name="O_VlrVC3On">[1]Dados_Serv!$B$12</definedName>
    <definedName name="plano_ld">'[1]Resumo SMP'!$J$13</definedName>
    <definedName name="plano_local">'[1]Resumo SMP'!$D$13</definedName>
    <definedName name="Proc_Cli">IV!$B$7</definedName>
    <definedName name="qtMinCompForm">[1]Dados_Serv!$B$15</definedName>
    <definedName name="SMSFlexOff">[1]Dados_Serv!$B$24</definedName>
    <definedName name="SMSFlexOn">[1]Dados_Serv!$B$23</definedName>
    <definedName name="subsidio">[1]Dados_Serv!$B$25</definedName>
    <definedName name="TabAparelhos">OFFSET([1]Aparelhos!$A$1,0,0,MATCH("*",[1]Aparelhos!$A:$A,-1),2)</definedName>
    <definedName name="Tabela_Serv">OFFSET([1]Dados_Serv!$A$25,1,0,MATCH("*",[1]Dados_Serv!$A:$A,-1)-25,33)</definedName>
    <definedName name="TabFormulas">OFFSET([1]Dados_Serv!$AB$26,1,0,MATCH("*",[1]Dados_Serv!$A:$A,-1)-26,1)</definedName>
    <definedName name="TabPacLD">[1]Listas!$A$1:$D$10</definedName>
    <definedName name="TbLimpar">OFFSET([1]Dados_Serv!$A$26,1,0,MATCH("*",[1]Dados_Serv!$A:$A,-1)-26,33)</definedName>
    <definedName name="TbMinComp">[1]Listas!$AH$1:$AI$248</definedName>
    <definedName name="vlrAssinatura">[1]Dados_Serv!$B$4</definedName>
    <definedName name="vlrMinCompForm">[1]Dados_Serv!$B$5</definedName>
    <definedName name="vlrMinCompFormMF">[1]Dados_Serv!$B$8</definedName>
    <definedName name="vlrMinCompFormOffNet">[1]Dados_Serv!$B$7</definedName>
    <definedName name="vlrMinCompFormOnNet">[1]Dados_Serv!$B$6</definedName>
  </definedNames>
  <calcPr calcId="171027"/>
</workbook>
</file>

<file path=xl/calcChain.xml><?xml version="1.0" encoding="utf-8"?>
<calcChain xmlns="http://schemas.openxmlformats.org/spreadsheetml/2006/main">
  <c r="H71" i="1" l="1"/>
  <c r="H70" i="1"/>
  <c r="B47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K14" i="1"/>
  <c r="J14" i="1"/>
  <c r="I7" i="1"/>
  <c r="I2" i="1" s="1"/>
  <c r="J4" i="1"/>
</calcChain>
</file>

<file path=xl/sharedStrings.xml><?xml version="1.0" encoding="utf-8"?>
<sst xmlns="http://schemas.openxmlformats.org/spreadsheetml/2006/main" count="33" uniqueCount="23">
  <si>
    <t>RG</t>
  </si>
  <si>
    <t>Lista De Gestores e/ou Chave de E-mail (Autorizados a Solicitar Pedidos Via Email)</t>
  </si>
  <si>
    <t>Chave de Email autorizada:</t>
  </si>
  <si>
    <t>Nome Gestor</t>
  </si>
  <si>
    <t>Cargo</t>
  </si>
  <si>
    <t>CPF</t>
  </si>
  <si>
    <t>Telefone</t>
  </si>
  <si>
    <t>E-mail Autorizado Para Demandas</t>
  </si>
  <si>
    <t>Informações Gerais</t>
  </si>
  <si>
    <t>É de exclusiva responsabilidade do cliente a alteração dos dados cadastrais do(s) gestor(es) e da chave de email, sempre que necessário. A Telefonica|VIVO não se responsabiliza por atos praticados pelo gestor cadastrado e/ou pelos usuários da chave de email devidamente cadastrados pelo próprio cliente, em nenhuma hipótese.</t>
  </si>
  <si>
    <t>Dados Cadastrais</t>
  </si>
  <si>
    <t>Razão Social</t>
  </si>
  <si>
    <t>CNPJ</t>
  </si>
  <si>
    <t>Assinatura do Representante de Vendas</t>
  </si>
  <si>
    <t>Nome:</t>
  </si>
  <si>
    <t>RG:</t>
  </si>
  <si>
    <t>Assinatura Procurador - Segmento Empresas</t>
  </si>
  <si>
    <t xml:space="preserve">Assinatura Representante Legal da Empresa - Com reconhecimento de firma              </t>
  </si>
  <si>
    <t>O presente cadastro permitirá que  o Gestor(es) e/ou a chave de email realizem toda e qualquer demanda relacionada aos serviços ora ou futuramente prestados pela Telefonica|VIVO, sendo estes contidos neste contrato ao atraves de termo SMP, bem como relativos a equipamentos cedidos em comodato, locados e/ou vendidos pela Telefonica|VIVO ao Cliente. Podendo ainda realizar a Transferências de Titularidade das linhas pertencentes a este cliente, desde que a transferência seja entre Filiais e/ou Empresas do Grupo relacionados no anexo III do contrato geral. Declara, ainda, que tem ciência e concorda que tais demandas poderão ser realizadas por quaisquer meios de contato disponibilizados pela Telefonica|VIVO, incluindo, mas não se limitando a, assinatura de documentos bem como através do emails devidamente cadastrado neste documento, internet e/ou por telefone (nesse caso, mediante identificação positiva).</t>
  </si>
  <si>
    <t>A Validade deste documento é a mesma constante no presente contrato geral, sendo este ratificado integralmente</t>
  </si>
  <si>
    <t>Favor Verficar Preenchimento</t>
  </si>
  <si>
    <r>
      <t xml:space="preserve">Aditivo Contrato - </t>
    </r>
    <r>
      <rPr>
        <sz val="12"/>
        <color rgb="FFFF0000"/>
        <rFont val="Calibri"/>
        <family val="2"/>
        <scheme val="minor"/>
      </rPr>
      <t xml:space="preserve">VPE XXXXXXXX - XXX/XX </t>
    </r>
    <r>
      <rPr>
        <sz val="12"/>
        <rFont val="Calibri"/>
        <family val="2"/>
        <scheme val="minor"/>
      </rPr>
      <t>- Inclusão de Empresas e Lista de Gestores</t>
    </r>
  </si>
  <si>
    <r>
      <t xml:space="preserve">O Cliente acima qualificado concorda com a inclusão desta empresa no contrato geral de numero </t>
    </r>
    <r>
      <rPr>
        <sz val="12"/>
        <color rgb="FFFF0000"/>
        <rFont val="Calibri"/>
        <family val="2"/>
        <scheme val="minor"/>
      </rPr>
      <t>VPE XXXXXXXX - XXX/XX</t>
    </r>
    <r>
      <rPr>
        <sz val="12"/>
        <rFont val="Calibri"/>
        <family val="2"/>
        <scheme val="minor"/>
      </rPr>
      <t>, aceitando todas as condições de prestação de serviço nele contido.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</si>
</sst>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#,##0.0_);\(#,##0.0\)"/>
    <numFmt numFmtId="166" formatCode="_([$€]* #,##0.00_);_([$€]* \(#,##0.00\);_([$€]* &quot;-&quot;??_);_(@_)"/>
    <numFmt numFmtId="167" formatCode="&quot;$&quot;#,##0.00_);[Red]\(&quot;$&quot;#,##0.00\)"/>
    <numFmt numFmtId="168" formatCode="0.0%"/>
    <numFmt numFmtId="169" formatCode="#,##0.0"/>
    <numFmt numFmtId="170" formatCode="#.#,;[Red]\(#.#,\)"/>
    <numFmt numFmtId="171" formatCode="_(* #,##0.00_);_(* \(#,##0.00\);_(* &quot;-&quot;??_);_(@_)"/>
    <numFmt numFmtId="172" formatCode="[$-416]mmm\-yy;@"/>
    <numFmt numFmtId="173" formatCode="_(* #,##0_);_(* \(#,##0\);_(* &quot;-&quot;??_);_(@_)"/>
    <numFmt numFmtId="174" formatCode="&quot;$&quot;#,##0_);[Red]\(&quot;$&quot;#,##0\)"/>
    <numFmt numFmtId="175" formatCode="000000000000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2"/>
      <name val="Calibri"/>
      <family val="2"/>
      <scheme val="minor"/>
    </font>
    <font>
      <sz val="10"/>
      <name val="Helv"/>
      <family val="2"/>
    </font>
    <font>
      <sz val="10"/>
      <name val="Arial"/>
      <family val="2"/>
    </font>
    <font>
      <b/>
      <sz val="14"/>
      <color indexed="56"/>
      <name val="Palatino"/>
      <family val="1"/>
    </font>
    <font>
      <b/>
      <sz val="8"/>
      <name val="Helv"/>
    </font>
    <font>
      <sz val="8"/>
      <name val="Arial"/>
      <family val="2"/>
    </font>
    <font>
      <sz val="9"/>
      <color indexed="39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11"/>
      <color indexed="8"/>
      <name val="Calibri"/>
      <family val="2"/>
    </font>
    <font>
      <b/>
      <sz val="9"/>
      <name val="Helvetica"/>
      <family val="2"/>
    </font>
    <font>
      <i/>
      <sz val="9"/>
      <name val="Arial"/>
      <family val="2"/>
    </font>
    <font>
      <sz val="10"/>
      <name val="MS Sans Serif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b/>
      <sz val="14"/>
      <name val="Palatino"/>
      <family val="1"/>
    </font>
    <font>
      <b/>
      <u/>
      <sz val="11"/>
      <name val="Helvetica"/>
      <family val="2"/>
    </font>
    <font>
      <b/>
      <sz val="12"/>
      <name val="Helvetica"/>
      <family val="2"/>
    </font>
    <font>
      <b/>
      <sz val="10"/>
      <name val="Arial"/>
      <family val="2"/>
    </font>
    <font>
      <b/>
      <sz val="14"/>
      <name val="Helv"/>
    </font>
    <font>
      <b/>
      <sz val="12"/>
      <name val="Helv"/>
    </font>
    <font>
      <b/>
      <sz val="9"/>
      <color indexed="8"/>
      <name val="Arial"/>
      <family val="2"/>
    </font>
    <font>
      <b/>
      <sz val="8"/>
      <name val="Arial"/>
      <family val="2"/>
    </font>
    <font>
      <sz val="10"/>
      <name val="Helvetica"/>
      <family val="2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lightGray"/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hair">
        <color theme="1" tint="0.499984740745262"/>
      </right>
      <top style="thin">
        <color theme="1"/>
      </top>
      <bottom style="thin">
        <color theme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hair">
        <color theme="1" tint="0.499984740745262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/>
      </right>
      <top style="thin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/>
      </left>
      <right style="hair">
        <color theme="1" tint="0.499984740745262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thin">
        <color theme="1"/>
      </bottom>
      <diagonal/>
    </border>
    <border>
      <left style="hair">
        <color theme="1" tint="0.499984740745262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dotted">
        <color auto="1"/>
      </bottom>
      <diagonal/>
    </border>
  </borders>
  <cellStyleXfs count="9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8" fillId="0" borderId="0"/>
    <xf numFmtId="0" fontId="8" fillId="0" borderId="0">
      <alignment horizontal="right"/>
    </xf>
    <xf numFmtId="0" fontId="8" fillId="0" borderId="0">
      <alignment horizontal="right"/>
    </xf>
    <xf numFmtId="0" fontId="8" fillId="0" borderId="0">
      <alignment horizontal="right"/>
    </xf>
    <xf numFmtId="165" fontId="9" fillId="0" borderId="0"/>
    <xf numFmtId="165" fontId="10" fillId="0" borderId="0" applyFill="0" applyBorder="0" applyAlignment="0" applyProtection="0">
      <alignment horizontal="left"/>
    </xf>
    <xf numFmtId="166" fontId="8" fillId="0" borderId="0" applyFont="0" applyFill="0" applyBorder="0" applyAlignment="0" applyProtection="0"/>
    <xf numFmtId="167" fontId="11" fillId="3" borderId="3" applyNumberFormat="0" applyAlignment="0">
      <protection locked="0"/>
    </xf>
    <xf numFmtId="168" fontId="12" fillId="4" borderId="0">
      <protection locked="0"/>
    </xf>
    <xf numFmtId="3" fontId="13" fillId="4" borderId="0">
      <alignment horizontal="right"/>
      <protection locked="0"/>
    </xf>
    <xf numFmtId="169" fontId="12" fillId="4" borderId="0" applyBorder="0">
      <alignment horizontal="right"/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7" fontId="11" fillId="3" borderId="3" applyNumberFormat="0" applyAlignment="0">
      <protection locked="0"/>
    </xf>
    <xf numFmtId="168" fontId="11" fillId="3" borderId="22" applyNumberFormat="0" applyFont="0" applyAlignment="0" applyProtection="0">
      <alignment horizontal="center"/>
      <protection locked="0"/>
    </xf>
    <xf numFmtId="168" fontId="11" fillId="3" borderId="22" applyNumberFormat="0" applyFont="0" applyAlignment="0" applyProtection="0">
      <alignment horizontal="center"/>
      <protection locked="0"/>
    </xf>
    <xf numFmtId="170" fontId="8" fillId="0" borderId="0" applyFont="0" applyFill="0" applyBorder="0" applyAlignment="0" applyProtection="0"/>
    <xf numFmtId="3" fontId="14" fillId="0" borderId="0" applyBorder="0" applyAlignment="0" applyProtection="0">
      <alignment horizontal="right"/>
      <protection locked="0"/>
    </xf>
    <xf numFmtId="171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8" fillId="0" borderId="0"/>
    <xf numFmtId="0" fontId="15" fillId="0" borderId="0"/>
    <xf numFmtId="0" fontId="8" fillId="0" borderId="0"/>
    <xf numFmtId="0" fontId="1" fillId="0" borderId="0"/>
    <xf numFmtId="172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3" fontId="16" fillId="0" borderId="0"/>
    <xf numFmtId="3" fontId="17" fillId="0" borderId="0">
      <alignment horizontal="left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19" fillId="0" borderId="0" applyBorder="0" applyAlignment="0" applyProtection="0">
      <protection locked="0"/>
    </xf>
    <xf numFmtId="0" fontId="18" fillId="0" borderId="0" applyNumberFormat="0" applyFont="0" applyFill="0" applyBorder="0" applyAlignment="0" applyProtection="0">
      <alignment horizontal="left"/>
    </xf>
    <xf numFmtId="165" fontId="20" fillId="0" borderId="0">
      <alignment horizontal="left"/>
    </xf>
    <xf numFmtId="171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1" fillId="0" borderId="0">
      <alignment horizontal="left"/>
    </xf>
    <xf numFmtId="3" fontId="22" fillId="0" borderId="0"/>
    <xf numFmtId="3" fontId="23" fillId="0" borderId="0"/>
    <xf numFmtId="3" fontId="14" fillId="0" borderId="20"/>
    <xf numFmtId="173" fontId="24" fillId="0" borderId="23"/>
    <xf numFmtId="3" fontId="14" fillId="0" borderId="20"/>
    <xf numFmtId="3" fontId="14" fillId="0" borderId="20"/>
    <xf numFmtId="165" fontId="25" fillId="5" borderId="0" applyFill="0" applyBorder="0" applyAlignment="0" applyProtection="0">
      <alignment horizontal="left"/>
    </xf>
    <xf numFmtId="165" fontId="25" fillId="5" borderId="0" applyFill="0" applyBorder="0" applyAlignment="0" applyProtection="0">
      <alignment horizontal="left"/>
    </xf>
    <xf numFmtId="165" fontId="26" fillId="0" borderId="0" applyFill="0" applyBorder="0" applyAlignment="0" applyProtection="0">
      <alignment horizontal="left"/>
    </xf>
    <xf numFmtId="165" fontId="26" fillId="0" borderId="0" applyFill="0" applyBorder="0" applyAlignment="0" applyProtection="0">
      <alignment horizontal="left"/>
    </xf>
    <xf numFmtId="0" fontId="24" fillId="0" borderId="0"/>
    <xf numFmtId="3" fontId="27" fillId="0" borderId="23"/>
    <xf numFmtId="3" fontId="27" fillId="0" borderId="23"/>
    <xf numFmtId="174" fontId="18" fillId="0" borderId="0" applyFont="0" applyFill="0" applyBorder="0" applyAlignment="0" applyProtection="0"/>
    <xf numFmtId="0" fontId="28" fillId="6" borderId="20" applyNumberFormat="0" applyFont="0" applyAlignment="0" applyProtection="0">
      <protection locked="0"/>
    </xf>
    <xf numFmtId="0" fontId="28" fillId="6" borderId="20" applyNumberFormat="0" applyFont="0" applyAlignment="0" applyProtection="0">
      <protection locked="0"/>
    </xf>
    <xf numFmtId="0" fontId="29" fillId="0" borderId="0">
      <alignment horizontal="right"/>
    </xf>
  </cellStyleXfs>
  <cellXfs count="69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Protection="1">
      <protection hidden="1"/>
    </xf>
    <xf numFmtId="0" fontId="2" fillId="0" borderId="0" xfId="0" applyFont="1" applyFill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4" fillId="0" borderId="5" xfId="0" applyFont="1" applyBorder="1" applyAlignment="1" applyProtection="1">
      <alignment horizontal="center" vertical="center" wrapText="1"/>
      <protection hidden="1"/>
    </xf>
    <xf numFmtId="0" fontId="4" fillId="0" borderId="6" xfId="0" applyFont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0" borderId="7" xfId="0" applyFill="1" applyBorder="1" applyAlignment="1" applyProtection="1">
      <protection locked="0" hidden="1"/>
    </xf>
    <xf numFmtId="0" fontId="0" fillId="0" borderId="8" xfId="0" applyFill="1" applyBorder="1" applyAlignment="1" applyProtection="1">
      <alignment horizontal="left"/>
      <protection locked="0" hidden="1"/>
    </xf>
    <xf numFmtId="0" fontId="0" fillId="0" borderId="8" xfId="0" applyBorder="1" applyAlignment="1" applyProtection="1">
      <alignment horizontal="center"/>
      <protection locked="0" hidden="1"/>
    </xf>
    <xf numFmtId="0" fontId="0" fillId="0" borderId="8" xfId="1" applyNumberFormat="1" applyFont="1" applyBorder="1" applyAlignment="1" applyProtection="1">
      <alignment horizontal="center"/>
      <protection locked="0" hidden="1"/>
    </xf>
    <xf numFmtId="0" fontId="0" fillId="0" borderId="17" xfId="0" applyFont="1" applyFill="1" applyBorder="1" applyAlignment="1" applyProtection="1">
      <protection locked="0" hidden="1"/>
    </xf>
    <xf numFmtId="0" fontId="0" fillId="0" borderId="18" xfId="0" applyFont="1" applyFill="1" applyBorder="1" applyAlignment="1" applyProtection="1">
      <alignment horizontal="left"/>
      <protection locked="0" hidden="1"/>
    </xf>
    <xf numFmtId="0" fontId="0" fillId="0" borderId="18" xfId="0" applyFont="1" applyBorder="1" applyAlignment="1" applyProtection="1">
      <alignment horizontal="center"/>
      <protection locked="0" hidden="1"/>
    </xf>
    <xf numFmtId="0" fontId="0" fillId="0" borderId="18" xfId="1" applyNumberFormat="1" applyFont="1" applyBorder="1" applyAlignment="1" applyProtection="1">
      <alignment horizontal="center"/>
      <protection locked="0" hidden="1"/>
    </xf>
    <xf numFmtId="0" fontId="0" fillId="0" borderId="12" xfId="0" applyFont="1" applyFill="1" applyBorder="1" applyAlignment="1" applyProtection="1">
      <protection locked="0" hidden="1"/>
    </xf>
    <xf numFmtId="0" fontId="0" fillId="0" borderId="13" xfId="0" applyFont="1" applyFill="1" applyBorder="1" applyAlignment="1" applyProtection="1">
      <alignment horizontal="left"/>
      <protection locked="0" hidden="1"/>
    </xf>
    <xf numFmtId="0" fontId="0" fillId="0" borderId="13" xfId="0" applyFont="1" applyBorder="1" applyAlignment="1" applyProtection="1">
      <alignment horizontal="center"/>
      <protection locked="0" hidden="1"/>
    </xf>
    <xf numFmtId="0" fontId="0" fillId="0" borderId="13" xfId="1" applyNumberFormat="1" applyFont="1" applyBorder="1" applyAlignment="1" applyProtection="1">
      <protection locked="0" hidden="1"/>
    </xf>
    <xf numFmtId="0" fontId="2" fillId="0" borderId="0" xfId="0" applyFont="1" applyFill="1" applyBorder="1" applyAlignment="1" applyProtection="1">
      <alignment wrapText="1"/>
      <protection hidden="1"/>
    </xf>
    <xf numFmtId="0" fontId="2" fillId="0" borderId="0" xfId="0" applyFont="1" applyAlignment="1" applyProtection="1">
      <alignment vertical="top" wrapText="1"/>
      <protection hidden="1"/>
    </xf>
    <xf numFmtId="0" fontId="2" fillId="0" borderId="0" xfId="0" applyFont="1" applyAlignment="1" applyProtection="1">
      <alignment horizontal="center" vertical="top" wrapText="1"/>
      <protection hidden="1"/>
    </xf>
    <xf numFmtId="0" fontId="2" fillId="0" borderId="0" xfId="0" applyFont="1" applyAlignment="1" applyProtection="1">
      <alignment wrapText="1"/>
      <protection hidden="1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2" fillId="0" borderId="0" xfId="0" applyFont="1" applyBorder="1" applyAlignment="1" applyProtection="1">
      <alignment horizontal="left" vertical="top" wrapText="1"/>
      <protection hidden="1"/>
    </xf>
    <xf numFmtId="0" fontId="2" fillId="0" borderId="24" xfId="0" applyFont="1" applyBorder="1" applyAlignment="1" applyProtection="1">
      <alignment horizontal="left" vertical="top"/>
      <protection hidden="1"/>
    </xf>
    <xf numFmtId="0" fontId="2" fillId="0" borderId="24" xfId="0" applyFont="1" applyBorder="1" applyAlignment="1" applyProtection="1">
      <alignment horizontal="left" vertical="top" wrapText="1"/>
      <protection hidden="1"/>
    </xf>
    <xf numFmtId="0" fontId="6" fillId="0" borderId="0" xfId="0" applyFont="1" applyProtection="1">
      <protection hidden="1"/>
    </xf>
    <xf numFmtId="0" fontId="31" fillId="0" borderId="0" xfId="0" applyFont="1" applyProtection="1">
      <protection hidden="1"/>
    </xf>
    <xf numFmtId="0" fontId="31" fillId="0" borderId="0" xfId="0" applyFont="1" applyFill="1" applyProtection="1">
      <protection hidden="1"/>
    </xf>
    <xf numFmtId="0" fontId="3" fillId="0" borderId="0" xfId="0" applyFont="1" applyProtection="1">
      <protection hidden="1"/>
    </xf>
    <xf numFmtId="0" fontId="31" fillId="0" borderId="0" xfId="0" applyFont="1" applyAlignment="1" applyProtection="1">
      <alignment vertical="top" wrapText="1"/>
      <protection hidden="1"/>
    </xf>
    <xf numFmtId="0" fontId="30" fillId="0" borderId="0" xfId="0" applyFont="1" applyProtection="1">
      <protection hidden="1"/>
    </xf>
    <xf numFmtId="0" fontId="2" fillId="0" borderId="0" xfId="0" applyFont="1" applyAlignment="1" applyProtection="1">
      <alignment wrapText="1"/>
      <protection locked="0" hidden="1"/>
    </xf>
    <xf numFmtId="0" fontId="2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Protection="1">
      <protection locked="0" hidden="1"/>
    </xf>
    <xf numFmtId="0" fontId="2" fillId="0" borderId="0" xfId="0" applyFont="1" applyBorder="1" applyAlignment="1" applyProtection="1">
      <alignment horizontal="left" vertical="top"/>
      <protection hidden="1"/>
    </xf>
    <xf numFmtId="0" fontId="2" fillId="0" borderId="3" xfId="0" applyFont="1" applyBorder="1" applyAlignment="1" applyProtection="1">
      <alignment horizontal="left" vertical="top" wrapText="1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2" xfId="0" applyFont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3" fillId="2" borderId="4" xfId="0" applyFont="1" applyFill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/>
      <protection locked="0" hidden="1"/>
    </xf>
    <xf numFmtId="175" fontId="6" fillId="0" borderId="3" xfId="0" applyNumberFormat="1" applyFont="1" applyBorder="1" applyAlignment="1" applyProtection="1">
      <alignment horizontal="center"/>
      <protection locked="0" hidden="1"/>
    </xf>
    <xf numFmtId="164" fontId="5" fillId="0" borderId="10" xfId="2" applyNumberFormat="1" applyFont="1" applyBorder="1" applyAlignment="1" applyProtection="1">
      <alignment horizontal="center"/>
      <protection locked="0" hidden="1"/>
    </xf>
    <xf numFmtId="164" fontId="5" fillId="0" borderId="11" xfId="2" applyNumberFormat="1" applyFont="1" applyBorder="1" applyAlignment="1" applyProtection="1">
      <alignment horizontal="center"/>
      <protection locked="0" hidden="1"/>
    </xf>
    <xf numFmtId="0" fontId="5" fillId="0" borderId="3" xfId="2" applyFill="1" applyBorder="1" applyAlignment="1" applyProtection="1">
      <alignment horizontal="center"/>
      <protection locked="0" hidden="1"/>
    </xf>
    <xf numFmtId="0" fontId="4" fillId="0" borderId="3" xfId="0" applyFont="1" applyFill="1" applyBorder="1" applyAlignment="1" applyProtection="1">
      <alignment horizontal="center"/>
      <protection locked="0" hidden="1"/>
    </xf>
    <xf numFmtId="0" fontId="4" fillId="0" borderId="15" xfId="0" applyFont="1" applyBorder="1" applyAlignment="1" applyProtection="1">
      <alignment horizontal="center" vertical="center" wrapText="1"/>
      <protection hidden="1"/>
    </xf>
    <xf numFmtId="0" fontId="4" fillId="0" borderId="16" xfId="0" applyFont="1" applyBorder="1" applyAlignment="1" applyProtection="1">
      <alignment horizontal="center" vertical="center" wrapText="1"/>
      <protection hidden="1"/>
    </xf>
    <xf numFmtId="164" fontId="5" fillId="0" borderId="8" xfId="2" applyNumberFormat="1" applyFont="1" applyBorder="1" applyAlignment="1" applyProtection="1">
      <alignment horizontal="center"/>
      <protection locked="0" hidden="1"/>
    </xf>
    <xf numFmtId="164" fontId="5" fillId="0" borderId="9" xfId="2" applyNumberFormat="1" applyFont="1" applyBorder="1" applyAlignment="1" applyProtection="1">
      <alignment horizontal="center"/>
      <protection locked="0" hidden="1"/>
    </xf>
    <xf numFmtId="164" fontId="5" fillId="0" borderId="18" xfId="2" applyNumberFormat="1" applyFont="1" applyBorder="1" applyAlignment="1" applyProtection="1">
      <alignment horizontal="center"/>
      <protection locked="0" hidden="1"/>
    </xf>
    <xf numFmtId="164" fontId="5" fillId="0" borderId="19" xfId="2" applyNumberFormat="1" applyFont="1" applyBorder="1" applyAlignment="1" applyProtection="1">
      <alignment horizontal="center"/>
      <protection locked="0" hidden="1"/>
    </xf>
    <xf numFmtId="0" fontId="6" fillId="0" borderId="3" xfId="0" applyFont="1" applyBorder="1" applyAlignment="1" applyProtection="1">
      <alignment horizontal="left" vertical="top" wrapText="1"/>
      <protection hidden="1"/>
    </xf>
    <xf numFmtId="164" fontId="5" fillId="0" borderId="13" xfId="2" applyNumberFormat="1" applyFont="1" applyBorder="1" applyAlignment="1" applyProtection="1">
      <alignment horizontal="center"/>
      <protection locked="0" hidden="1"/>
    </xf>
    <xf numFmtId="164" fontId="5" fillId="0" borderId="14" xfId="2" applyNumberFormat="1" applyFont="1" applyBorder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left" vertical="center" wrapText="1"/>
      <protection locked="0" hidden="1"/>
    </xf>
    <xf numFmtId="0" fontId="2" fillId="0" borderId="25" xfId="0" applyFont="1" applyBorder="1" applyAlignment="1" applyProtection="1">
      <alignment horizontal="left" vertical="top"/>
      <protection locked="0" hidden="1"/>
    </xf>
    <xf numFmtId="0" fontId="32" fillId="7" borderId="0" xfId="0" applyFont="1" applyFill="1" applyAlignment="1" applyProtection="1">
      <alignment horizontal="center" vertical="center"/>
      <protection hidden="1"/>
    </xf>
  </cellXfs>
  <cellStyles count="93">
    <cellStyle name="_Análise Financeira PRODAM - CIT" xfId="3"/>
    <cellStyle name="A3 297 x 420 mm" xfId="4"/>
    <cellStyle name="Año" xfId="5"/>
    <cellStyle name="Año 2" xfId="6"/>
    <cellStyle name="Año 3" xfId="7"/>
    <cellStyle name="Company Name" xfId="8"/>
    <cellStyle name="Cuadro 1" xfId="9"/>
    <cellStyle name="Euro" xfId="10"/>
    <cellStyle name="Hiperlink" xfId="2" builtinId="8"/>
    <cellStyle name="Input" xfId="11"/>
    <cellStyle name="Input %" xfId="12"/>
    <cellStyle name="Input 0" xfId="13"/>
    <cellStyle name="Input 0,0" xfId="14"/>
    <cellStyle name="Input 2" xfId="15"/>
    <cellStyle name="Input 2 2" xfId="16"/>
    <cellStyle name="Input 2 3" xfId="17"/>
    <cellStyle name="Input 3" xfId="18"/>
    <cellStyle name="Input 3 2" xfId="19"/>
    <cellStyle name="Input 3 3" xfId="20"/>
    <cellStyle name="Input 4" xfId="21"/>
    <cellStyle name="Input 4 2" xfId="22"/>
    <cellStyle name="Input 4 3" xfId="23"/>
    <cellStyle name="Input 5" xfId="24"/>
    <cellStyle name="Input 6" xfId="25"/>
    <cellStyle name="Input 7" xfId="26"/>
    <cellStyle name="Input 8" xfId="27"/>
    <cellStyle name="Input2" xfId="28"/>
    <cellStyle name="Input2 2" xfId="29"/>
    <cellStyle name="Migliaia (0)" xfId="30"/>
    <cellStyle name="Millares [0]_Modelo_19-06" xfId="31"/>
    <cellStyle name="Millares_Amortizaciones" xfId="32"/>
    <cellStyle name="Moeda" xfId="1" builtinId="4"/>
    <cellStyle name="Moeda 2" xfId="33"/>
    <cellStyle name="Moeda 2 2" xfId="34"/>
    <cellStyle name="Moeda 3" xfId="35"/>
    <cellStyle name="Normal" xfId="0" builtinId="0"/>
    <cellStyle name="Normal 10" xfId="36"/>
    <cellStyle name="Normal 11" xfId="37"/>
    <cellStyle name="Normal 12" xfId="38"/>
    <cellStyle name="Normal 12 2" xfId="39"/>
    <cellStyle name="Normal 13" xfId="40"/>
    <cellStyle name="Normal 2" xfId="41"/>
    <cellStyle name="Normal 2 2" xfId="42"/>
    <cellStyle name="Normal 2 2 2" xfId="43"/>
    <cellStyle name="Normal 2 2 2 2" xfId="44"/>
    <cellStyle name="Normal 2 2 2 2 2" xfId="45"/>
    <cellStyle name="Normal 2 2 3" xfId="46"/>
    <cellStyle name="Normal 2 2 4" xfId="47"/>
    <cellStyle name="Normal 2 3" xfId="48"/>
    <cellStyle name="Normal 3" xfId="49"/>
    <cellStyle name="Normal 3 2" xfId="50"/>
    <cellStyle name="Normal 3 2 2" xfId="51"/>
    <cellStyle name="Normal 3 2 2 2" xfId="52"/>
    <cellStyle name="Normal 3 3" xfId="53"/>
    <cellStyle name="Normal 3 4" xfId="54"/>
    <cellStyle name="Normal 4" xfId="55"/>
    <cellStyle name="Normal 4 2" xfId="56"/>
    <cellStyle name="Normal 5" xfId="57"/>
    <cellStyle name="Normal 6" xfId="58"/>
    <cellStyle name="Normal 7" xfId="59"/>
    <cellStyle name="Normal 8" xfId="60"/>
    <cellStyle name="Normal 9" xfId="61"/>
    <cellStyle name="Normal bold" xfId="62"/>
    <cellStyle name="Normal Italics" xfId="63"/>
    <cellStyle name="Porcentagem 2" xfId="64"/>
    <cellStyle name="Porcentagem 2 2" xfId="65"/>
    <cellStyle name="Porcentual_Modelo_19-06" xfId="66"/>
    <cellStyle name="PSChar" xfId="67"/>
    <cellStyle name="Section name" xfId="68"/>
    <cellStyle name="Separador de milhares 2" xfId="69"/>
    <cellStyle name="Separador de milhares 2 2" xfId="70"/>
    <cellStyle name="Separador de milhares 2 2 2" xfId="71"/>
    <cellStyle name="Separador de milhares 3" xfId="72"/>
    <cellStyle name="Separador de milhares 5" xfId="73"/>
    <cellStyle name="Separador de milhares 6" xfId="74"/>
    <cellStyle name="Spreadsheet title" xfId="75"/>
    <cellStyle name="Sub-titulo" xfId="76"/>
    <cellStyle name="Sub-titulo 2" xfId="77"/>
    <cellStyle name="Subtotal" xfId="78"/>
    <cellStyle name="Sub-total" xfId="79"/>
    <cellStyle name="Subtotal 2" xfId="80"/>
    <cellStyle name="Subtotal 3" xfId="81"/>
    <cellStyle name="Título 1 2" xfId="82"/>
    <cellStyle name="Título 1 3" xfId="83"/>
    <cellStyle name="Título 2 2" xfId="84"/>
    <cellStyle name="Título 2 3" xfId="85"/>
    <cellStyle name="Titulo-Seccion" xfId="86"/>
    <cellStyle name="Total 2" xfId="87"/>
    <cellStyle name="Total 3" xfId="88"/>
    <cellStyle name="Valuta (0)" xfId="89"/>
    <cellStyle name="WhitePattern1" xfId="90"/>
    <cellStyle name="WhitePattern1 2" xfId="91"/>
    <cellStyle name="Year" xfId="92"/>
  </cellStyles>
  <dxfs count="2">
    <dxf>
      <fill>
        <patternFill>
          <bgColor theme="0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80084709\AppData\Local\Microsoft\Windows\Temporary%20Internet%20Files\Content.Word\06%20-%20Contrato%20Guarda%20Chuva%20M&#243;v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SMP"/>
      <sheetName val="I"/>
      <sheetName val="II"/>
      <sheetName val="III"/>
      <sheetName val="IV"/>
      <sheetName val="V"/>
      <sheetName val="VI"/>
      <sheetName val="Listas"/>
      <sheetName val="Base_Tarifas"/>
      <sheetName val="carteira"/>
      <sheetName val="Aparelhos"/>
      <sheetName val="Dados_Serv"/>
      <sheetName val="Dados_Tratado"/>
      <sheetName val="Dados_backup"/>
      <sheetName val="Travas"/>
    </sheetNames>
    <sheetDataSet>
      <sheetData sheetId="0">
        <row r="13">
          <cell r="D13">
            <v>0</v>
          </cell>
          <cell r="J13">
            <v>0</v>
          </cell>
        </row>
      </sheetData>
      <sheetData sheetId="1"/>
      <sheetData sheetId="2">
        <row r="7">
          <cell r="C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</sheetData>
      <sheetData sheetId="3"/>
      <sheetData sheetId="4"/>
      <sheetData sheetId="5"/>
      <sheetData sheetId="6"/>
      <sheetData sheetId="7">
        <row r="1">
          <cell r="A1" t="str">
            <v>Pacotes AdicionaiLD</v>
          </cell>
          <cell r="B1" t="str">
            <v>Pacotes Adicionais Tratados</v>
          </cell>
          <cell r="C1" t="str">
            <v>Cod Anatel</v>
          </cell>
          <cell r="D1" t="str">
            <v>Preço</v>
          </cell>
          <cell r="AH1" t="str">
            <v>De</v>
          </cell>
          <cell r="AI1" t="str">
            <v>Para</v>
          </cell>
        </row>
        <row r="2">
          <cell r="A2" t="str">
            <v>-</v>
          </cell>
          <cell r="B2" t="str">
            <v>-</v>
          </cell>
          <cell r="C2" t="str">
            <v>-</v>
          </cell>
          <cell r="D2">
            <v>0</v>
          </cell>
          <cell r="AH2">
            <v>0</v>
          </cell>
          <cell r="AI2">
            <v>0</v>
          </cell>
        </row>
        <row r="3">
          <cell r="A3" t="str">
            <v>PACOTE LD FULL 20 MIN INDIV</v>
          </cell>
          <cell r="B3" t="str">
            <v>Pacote LD Full 20</v>
          </cell>
          <cell r="C3">
            <v>176</v>
          </cell>
          <cell r="D3">
            <v>16.8</v>
          </cell>
          <cell r="AH3">
            <v>20</v>
          </cell>
          <cell r="AI3">
            <v>50</v>
          </cell>
        </row>
        <row r="4">
          <cell r="A4" t="str">
            <v>PACOTE LD FULL 60 MIN INDIV</v>
          </cell>
          <cell r="B4" t="str">
            <v>Pacote LD Full 60</v>
          </cell>
          <cell r="C4">
            <v>176</v>
          </cell>
          <cell r="D4">
            <v>46.2</v>
          </cell>
          <cell r="AH4">
            <v>50</v>
          </cell>
          <cell r="AI4">
            <v>50</v>
          </cell>
        </row>
        <row r="5">
          <cell r="A5" t="str">
            <v>PACOTE LD FULL 100 MIN INDIV</v>
          </cell>
          <cell r="B5" t="str">
            <v>Pacote LD Full 100</v>
          </cell>
          <cell r="C5">
            <v>176</v>
          </cell>
          <cell r="D5">
            <v>70</v>
          </cell>
          <cell r="AH5">
            <v>75</v>
          </cell>
          <cell r="AI5">
            <v>100</v>
          </cell>
        </row>
        <row r="6">
          <cell r="A6" t="str">
            <v>PACOTE LD FULL 200 MIN INDIV</v>
          </cell>
          <cell r="B6" t="str">
            <v>Pacote LD Full 200</v>
          </cell>
          <cell r="C6">
            <v>176</v>
          </cell>
          <cell r="D6">
            <v>116</v>
          </cell>
          <cell r="AH6">
            <v>100</v>
          </cell>
          <cell r="AI6">
            <v>100</v>
          </cell>
        </row>
        <row r="7">
          <cell r="A7" t="str">
            <v>PACOTE LD LIGHT 20 MIN INDIV</v>
          </cell>
          <cell r="B7" t="str">
            <v>Pacote LD Light 20</v>
          </cell>
          <cell r="C7">
            <v>175</v>
          </cell>
          <cell r="D7">
            <v>11.6</v>
          </cell>
          <cell r="AH7">
            <v>125</v>
          </cell>
          <cell r="AI7">
            <v>150</v>
          </cell>
        </row>
        <row r="8">
          <cell r="A8" t="str">
            <v>PACOTE LD LIGHT 60 MIN INDIV</v>
          </cell>
          <cell r="B8" t="str">
            <v>Pacote LD Light 60</v>
          </cell>
          <cell r="C8">
            <v>175</v>
          </cell>
          <cell r="D8">
            <v>28.2</v>
          </cell>
          <cell r="AH8">
            <v>150</v>
          </cell>
          <cell r="AI8">
            <v>150</v>
          </cell>
        </row>
        <row r="9">
          <cell r="A9" t="str">
            <v>PACOTE LD LIGHT 100 MIN INDIV</v>
          </cell>
          <cell r="B9" t="str">
            <v>Pacote LD Light 100</v>
          </cell>
          <cell r="C9">
            <v>175</v>
          </cell>
          <cell r="D9">
            <v>40</v>
          </cell>
          <cell r="AH9">
            <v>175</v>
          </cell>
          <cell r="AI9">
            <v>200</v>
          </cell>
        </row>
        <row r="10">
          <cell r="A10" t="str">
            <v>PACOTE LD LIGHT 200 MIN INDIV</v>
          </cell>
          <cell r="B10" t="str">
            <v>Pacote LD Light 200</v>
          </cell>
          <cell r="C10">
            <v>175</v>
          </cell>
          <cell r="D10">
            <v>70</v>
          </cell>
          <cell r="AH10">
            <v>200</v>
          </cell>
          <cell r="AI10">
            <v>200</v>
          </cell>
        </row>
        <row r="11">
          <cell r="AH11">
            <v>250</v>
          </cell>
          <cell r="AI11">
            <v>250</v>
          </cell>
        </row>
        <row r="12">
          <cell r="AH12">
            <v>300</v>
          </cell>
          <cell r="AI12">
            <v>300</v>
          </cell>
        </row>
        <row r="13">
          <cell r="AH13">
            <v>350</v>
          </cell>
          <cell r="AI13">
            <v>350</v>
          </cell>
        </row>
        <row r="14">
          <cell r="AH14">
            <v>400</v>
          </cell>
          <cell r="AI14">
            <v>400</v>
          </cell>
        </row>
        <row r="15">
          <cell r="AH15">
            <v>450</v>
          </cell>
          <cell r="AI15">
            <v>450</v>
          </cell>
        </row>
        <row r="16">
          <cell r="AH16">
            <v>500</v>
          </cell>
          <cell r="AI16">
            <v>500</v>
          </cell>
        </row>
        <row r="17">
          <cell r="AH17">
            <v>550</v>
          </cell>
          <cell r="AI17">
            <v>550</v>
          </cell>
        </row>
        <row r="18">
          <cell r="AH18">
            <v>600</v>
          </cell>
          <cell r="AI18">
            <v>600</v>
          </cell>
        </row>
        <row r="19">
          <cell r="AH19">
            <v>650</v>
          </cell>
          <cell r="AI19">
            <v>650</v>
          </cell>
        </row>
        <row r="20">
          <cell r="AH20">
            <v>700</v>
          </cell>
          <cell r="AI20">
            <v>700</v>
          </cell>
        </row>
        <row r="21">
          <cell r="AH21">
            <v>750</v>
          </cell>
          <cell r="AI21">
            <v>750</v>
          </cell>
        </row>
        <row r="22">
          <cell r="AH22">
            <v>800</v>
          </cell>
          <cell r="AI22">
            <v>800</v>
          </cell>
        </row>
        <row r="23">
          <cell r="AH23">
            <v>850</v>
          </cell>
          <cell r="AI23">
            <v>850</v>
          </cell>
        </row>
        <row r="24">
          <cell r="AH24">
            <v>900</v>
          </cell>
          <cell r="AI24">
            <v>900</v>
          </cell>
        </row>
        <row r="25">
          <cell r="AH25">
            <v>950</v>
          </cell>
          <cell r="AI25">
            <v>950</v>
          </cell>
        </row>
        <row r="26">
          <cell r="AH26">
            <v>1000</v>
          </cell>
          <cell r="AI26">
            <v>1000</v>
          </cell>
        </row>
        <row r="27">
          <cell r="AH27">
            <v>1100</v>
          </cell>
          <cell r="AI27">
            <v>1100</v>
          </cell>
        </row>
        <row r="28">
          <cell r="AH28">
            <v>1200</v>
          </cell>
          <cell r="AI28">
            <v>1200</v>
          </cell>
        </row>
        <row r="29">
          <cell r="AH29">
            <v>1300</v>
          </cell>
          <cell r="AI29">
            <v>1300</v>
          </cell>
        </row>
        <row r="30">
          <cell r="AH30">
            <v>1400</v>
          </cell>
          <cell r="AI30">
            <v>1400</v>
          </cell>
        </row>
        <row r="31">
          <cell r="AH31">
            <v>1500</v>
          </cell>
          <cell r="AI31">
            <v>1500</v>
          </cell>
        </row>
        <row r="32">
          <cell r="AH32">
            <v>1600</v>
          </cell>
          <cell r="AI32">
            <v>1600</v>
          </cell>
        </row>
        <row r="33">
          <cell r="AH33">
            <v>1700</v>
          </cell>
          <cell r="AI33">
            <v>1700</v>
          </cell>
        </row>
        <row r="34">
          <cell r="AH34">
            <v>1800</v>
          </cell>
          <cell r="AI34">
            <v>1800</v>
          </cell>
        </row>
        <row r="35">
          <cell r="AH35">
            <v>1900</v>
          </cell>
          <cell r="AI35">
            <v>1900</v>
          </cell>
        </row>
        <row r="36">
          <cell r="AH36">
            <v>2000</v>
          </cell>
          <cell r="AI36">
            <v>2000</v>
          </cell>
        </row>
        <row r="37">
          <cell r="AH37">
            <v>2100</v>
          </cell>
          <cell r="AI37">
            <v>2100</v>
          </cell>
        </row>
        <row r="38">
          <cell r="AH38">
            <v>2200</v>
          </cell>
          <cell r="AI38">
            <v>2200</v>
          </cell>
        </row>
        <row r="39">
          <cell r="AH39">
            <v>2300</v>
          </cell>
          <cell r="AI39">
            <v>2300</v>
          </cell>
        </row>
        <row r="40">
          <cell r="AH40">
            <v>2400</v>
          </cell>
          <cell r="AI40">
            <v>2400</v>
          </cell>
        </row>
        <row r="41">
          <cell r="AH41">
            <v>2500</v>
          </cell>
          <cell r="AI41">
            <v>2500</v>
          </cell>
        </row>
        <row r="42">
          <cell r="AH42">
            <v>2600</v>
          </cell>
          <cell r="AI42">
            <v>2600</v>
          </cell>
        </row>
        <row r="43">
          <cell r="AH43">
            <v>2700</v>
          </cell>
          <cell r="AI43">
            <v>2700</v>
          </cell>
        </row>
        <row r="44">
          <cell r="AH44">
            <v>2800</v>
          </cell>
          <cell r="AI44">
            <v>2800</v>
          </cell>
        </row>
        <row r="45">
          <cell r="AH45">
            <v>2900</v>
          </cell>
          <cell r="AI45">
            <v>2900</v>
          </cell>
        </row>
        <row r="46">
          <cell r="AH46">
            <v>3000</v>
          </cell>
          <cell r="AI46">
            <v>3000</v>
          </cell>
        </row>
        <row r="47">
          <cell r="AH47">
            <v>3100</v>
          </cell>
          <cell r="AI47">
            <v>3100</v>
          </cell>
        </row>
        <row r="48">
          <cell r="AH48">
            <v>3200</v>
          </cell>
          <cell r="AI48">
            <v>3200</v>
          </cell>
        </row>
        <row r="49">
          <cell r="AH49">
            <v>3300</v>
          </cell>
          <cell r="AI49">
            <v>3300</v>
          </cell>
        </row>
        <row r="50">
          <cell r="AH50">
            <v>3400</v>
          </cell>
          <cell r="AI50">
            <v>3400</v>
          </cell>
        </row>
        <row r="51">
          <cell r="AH51">
            <v>3500</v>
          </cell>
          <cell r="AI51">
            <v>3500</v>
          </cell>
        </row>
        <row r="52">
          <cell r="AH52">
            <v>3600</v>
          </cell>
          <cell r="AI52">
            <v>3600</v>
          </cell>
        </row>
        <row r="53">
          <cell r="AH53">
            <v>3700</v>
          </cell>
          <cell r="AI53">
            <v>3700</v>
          </cell>
        </row>
        <row r="54">
          <cell r="AH54">
            <v>3800</v>
          </cell>
          <cell r="AI54">
            <v>3800</v>
          </cell>
        </row>
        <row r="55">
          <cell r="AH55">
            <v>3900</v>
          </cell>
          <cell r="AI55">
            <v>3900</v>
          </cell>
        </row>
        <row r="56">
          <cell r="AH56">
            <v>4000</v>
          </cell>
          <cell r="AI56">
            <v>4000</v>
          </cell>
        </row>
        <row r="57">
          <cell r="AH57">
            <v>4100</v>
          </cell>
          <cell r="AI57">
            <v>4100</v>
          </cell>
        </row>
        <row r="58">
          <cell r="AH58">
            <v>4200</v>
          </cell>
          <cell r="AI58">
            <v>4200</v>
          </cell>
        </row>
        <row r="59">
          <cell r="AH59">
            <v>4300</v>
          </cell>
          <cell r="AI59">
            <v>4300</v>
          </cell>
        </row>
        <row r="60">
          <cell r="AH60">
            <v>4400</v>
          </cell>
          <cell r="AI60">
            <v>4400</v>
          </cell>
        </row>
        <row r="61">
          <cell r="AH61">
            <v>4500</v>
          </cell>
          <cell r="AI61">
            <v>4500</v>
          </cell>
        </row>
        <row r="62">
          <cell r="AH62">
            <v>4600</v>
          </cell>
          <cell r="AI62">
            <v>4600</v>
          </cell>
        </row>
        <row r="63">
          <cell r="AH63">
            <v>4700</v>
          </cell>
          <cell r="AI63">
            <v>4700</v>
          </cell>
        </row>
        <row r="64">
          <cell r="AH64">
            <v>4800</v>
          </cell>
          <cell r="AI64">
            <v>4800</v>
          </cell>
        </row>
        <row r="65">
          <cell r="AH65">
            <v>4900</v>
          </cell>
          <cell r="AI65">
            <v>4900</v>
          </cell>
        </row>
        <row r="66">
          <cell r="AH66">
            <v>5000</v>
          </cell>
          <cell r="AI66">
            <v>5000</v>
          </cell>
        </row>
        <row r="67">
          <cell r="AH67">
            <v>5100</v>
          </cell>
          <cell r="AI67">
            <v>5100</v>
          </cell>
        </row>
        <row r="68">
          <cell r="AH68">
            <v>5200</v>
          </cell>
          <cell r="AI68">
            <v>5200</v>
          </cell>
        </row>
        <row r="69">
          <cell r="AH69">
            <v>5300</v>
          </cell>
          <cell r="AI69">
            <v>5300</v>
          </cell>
        </row>
        <row r="70">
          <cell r="AH70">
            <v>5400</v>
          </cell>
          <cell r="AI70">
            <v>5400</v>
          </cell>
        </row>
        <row r="71">
          <cell r="AH71">
            <v>5500</v>
          </cell>
          <cell r="AI71">
            <v>5500</v>
          </cell>
        </row>
        <row r="72">
          <cell r="AH72">
            <v>5600</v>
          </cell>
          <cell r="AI72">
            <v>5600</v>
          </cell>
        </row>
        <row r="73">
          <cell r="AH73">
            <v>5700</v>
          </cell>
          <cell r="AI73">
            <v>5700</v>
          </cell>
        </row>
        <row r="74">
          <cell r="AH74">
            <v>5800</v>
          </cell>
          <cell r="AI74">
            <v>5800</v>
          </cell>
        </row>
        <row r="75">
          <cell r="AH75">
            <v>5900</v>
          </cell>
          <cell r="AI75">
            <v>5900</v>
          </cell>
        </row>
        <row r="76">
          <cell r="AH76">
            <v>6000</v>
          </cell>
          <cell r="AI76">
            <v>6000</v>
          </cell>
        </row>
        <row r="77">
          <cell r="AH77">
            <v>6100</v>
          </cell>
          <cell r="AI77">
            <v>6100</v>
          </cell>
        </row>
        <row r="78">
          <cell r="AH78">
            <v>6200</v>
          </cell>
          <cell r="AI78">
            <v>6200</v>
          </cell>
        </row>
        <row r="79">
          <cell r="AH79">
            <v>6300</v>
          </cell>
          <cell r="AI79">
            <v>6300</v>
          </cell>
        </row>
        <row r="80">
          <cell r="AH80">
            <v>6400</v>
          </cell>
          <cell r="AI80">
            <v>6400</v>
          </cell>
        </row>
        <row r="81">
          <cell r="AH81">
            <v>6500</v>
          </cell>
          <cell r="AI81">
            <v>6500</v>
          </cell>
        </row>
        <row r="82">
          <cell r="AH82">
            <v>6600</v>
          </cell>
          <cell r="AI82">
            <v>6600</v>
          </cell>
        </row>
        <row r="83">
          <cell r="AH83">
            <v>6700</v>
          </cell>
          <cell r="AI83">
            <v>6700</v>
          </cell>
        </row>
        <row r="84">
          <cell r="AH84">
            <v>6800</v>
          </cell>
          <cell r="AI84">
            <v>6800</v>
          </cell>
        </row>
        <row r="85">
          <cell r="AH85">
            <v>6900</v>
          </cell>
          <cell r="AI85">
            <v>6900</v>
          </cell>
        </row>
        <row r="86">
          <cell r="AH86">
            <v>7000</v>
          </cell>
          <cell r="AI86">
            <v>7000</v>
          </cell>
        </row>
        <row r="87">
          <cell r="AH87">
            <v>7100</v>
          </cell>
          <cell r="AI87">
            <v>7100</v>
          </cell>
        </row>
        <row r="88">
          <cell r="AH88">
            <v>7200</v>
          </cell>
          <cell r="AI88">
            <v>7200</v>
          </cell>
        </row>
        <row r="89">
          <cell r="AH89">
            <v>7300</v>
          </cell>
          <cell r="AI89">
            <v>7300</v>
          </cell>
        </row>
        <row r="90">
          <cell r="AH90">
            <v>7400</v>
          </cell>
          <cell r="AI90">
            <v>7400</v>
          </cell>
        </row>
        <row r="91">
          <cell r="AH91">
            <v>7500</v>
          </cell>
          <cell r="AI91">
            <v>7500</v>
          </cell>
        </row>
        <row r="92">
          <cell r="AH92">
            <v>7600</v>
          </cell>
          <cell r="AI92">
            <v>7600</v>
          </cell>
        </row>
        <row r="93">
          <cell r="AH93">
            <v>7700</v>
          </cell>
          <cell r="AI93">
            <v>7700</v>
          </cell>
        </row>
        <row r="94">
          <cell r="AH94">
            <v>7800</v>
          </cell>
          <cell r="AI94">
            <v>7800</v>
          </cell>
        </row>
        <row r="95">
          <cell r="AH95">
            <v>7900</v>
          </cell>
          <cell r="AI95">
            <v>7900</v>
          </cell>
        </row>
        <row r="96">
          <cell r="AH96">
            <v>8000</v>
          </cell>
          <cell r="AI96">
            <v>8000</v>
          </cell>
        </row>
        <row r="97">
          <cell r="AH97">
            <v>8100</v>
          </cell>
          <cell r="AI97">
            <v>8100</v>
          </cell>
        </row>
        <row r="98">
          <cell r="AH98">
            <v>8200</v>
          </cell>
          <cell r="AI98">
            <v>8200</v>
          </cell>
        </row>
        <row r="99">
          <cell r="AH99">
            <v>8300</v>
          </cell>
          <cell r="AI99">
            <v>8300</v>
          </cell>
        </row>
        <row r="100">
          <cell r="AH100">
            <v>8400</v>
          </cell>
          <cell r="AI100">
            <v>8400</v>
          </cell>
        </row>
        <row r="101">
          <cell r="AH101">
            <v>8500</v>
          </cell>
          <cell r="AI101">
            <v>8500</v>
          </cell>
        </row>
        <row r="102">
          <cell r="AH102">
            <v>8600</v>
          </cell>
          <cell r="AI102">
            <v>8600</v>
          </cell>
        </row>
        <row r="103">
          <cell r="AH103">
            <v>8700</v>
          </cell>
          <cell r="AI103">
            <v>8700</v>
          </cell>
        </row>
        <row r="104">
          <cell r="AH104">
            <v>8800</v>
          </cell>
          <cell r="AI104">
            <v>8800</v>
          </cell>
        </row>
        <row r="105">
          <cell r="AH105">
            <v>8900</v>
          </cell>
          <cell r="AI105">
            <v>8900</v>
          </cell>
        </row>
        <row r="106">
          <cell r="AH106">
            <v>9000</v>
          </cell>
          <cell r="AI106">
            <v>9000</v>
          </cell>
        </row>
        <row r="107">
          <cell r="AH107">
            <v>9100</v>
          </cell>
          <cell r="AI107">
            <v>9100</v>
          </cell>
        </row>
        <row r="108">
          <cell r="AH108">
            <v>9200</v>
          </cell>
          <cell r="AI108">
            <v>9200</v>
          </cell>
        </row>
        <row r="109">
          <cell r="AH109">
            <v>9300</v>
          </cell>
          <cell r="AI109">
            <v>9300</v>
          </cell>
        </row>
        <row r="110">
          <cell r="AH110">
            <v>9400</v>
          </cell>
          <cell r="AI110">
            <v>9400</v>
          </cell>
        </row>
        <row r="111">
          <cell r="AH111">
            <v>9500</v>
          </cell>
          <cell r="AI111">
            <v>9500</v>
          </cell>
        </row>
        <row r="112">
          <cell r="AH112">
            <v>9600</v>
          </cell>
          <cell r="AI112">
            <v>9600</v>
          </cell>
        </row>
        <row r="113">
          <cell r="AH113">
            <v>9700</v>
          </cell>
          <cell r="AI113">
            <v>9700</v>
          </cell>
        </row>
        <row r="114">
          <cell r="AH114">
            <v>9800</v>
          </cell>
          <cell r="AI114">
            <v>9800</v>
          </cell>
        </row>
        <row r="115">
          <cell r="AH115">
            <v>9900</v>
          </cell>
          <cell r="AI115">
            <v>9900</v>
          </cell>
        </row>
        <row r="116">
          <cell r="AH116">
            <v>10000</v>
          </cell>
          <cell r="AI116">
            <v>10000</v>
          </cell>
        </row>
        <row r="117">
          <cell r="AH117">
            <v>10100</v>
          </cell>
          <cell r="AI117">
            <v>10100</v>
          </cell>
        </row>
        <row r="118">
          <cell r="AH118">
            <v>10200</v>
          </cell>
          <cell r="AI118">
            <v>10200</v>
          </cell>
        </row>
        <row r="119">
          <cell r="AH119">
            <v>10300</v>
          </cell>
          <cell r="AI119">
            <v>10300</v>
          </cell>
        </row>
        <row r="120">
          <cell r="AH120">
            <v>10400</v>
          </cell>
          <cell r="AI120">
            <v>10400</v>
          </cell>
        </row>
        <row r="121">
          <cell r="AH121">
            <v>10500</v>
          </cell>
          <cell r="AI121">
            <v>10500</v>
          </cell>
        </row>
        <row r="122">
          <cell r="AH122">
            <v>10600</v>
          </cell>
          <cell r="AI122">
            <v>10600</v>
          </cell>
        </row>
        <row r="123">
          <cell r="AH123">
            <v>10700</v>
          </cell>
          <cell r="AI123">
            <v>10700</v>
          </cell>
        </row>
        <row r="124">
          <cell r="AH124">
            <v>10800</v>
          </cell>
          <cell r="AI124">
            <v>10800</v>
          </cell>
        </row>
        <row r="125">
          <cell r="AH125">
            <v>10900</v>
          </cell>
          <cell r="AI125">
            <v>10900</v>
          </cell>
        </row>
        <row r="126">
          <cell r="AH126">
            <v>11000</v>
          </cell>
          <cell r="AI126">
            <v>11000</v>
          </cell>
        </row>
        <row r="127">
          <cell r="AH127">
            <v>11100</v>
          </cell>
          <cell r="AI127">
            <v>11100</v>
          </cell>
        </row>
        <row r="128">
          <cell r="AH128">
            <v>11200</v>
          </cell>
          <cell r="AI128">
            <v>11200</v>
          </cell>
        </row>
        <row r="129">
          <cell r="AH129">
            <v>11300</v>
          </cell>
          <cell r="AI129">
            <v>11300</v>
          </cell>
        </row>
        <row r="130">
          <cell r="AH130">
            <v>11400</v>
          </cell>
          <cell r="AI130">
            <v>11400</v>
          </cell>
        </row>
        <row r="131">
          <cell r="AH131">
            <v>11500</v>
          </cell>
          <cell r="AI131">
            <v>11500</v>
          </cell>
        </row>
        <row r="132">
          <cell r="AH132">
            <v>11600</v>
          </cell>
          <cell r="AI132">
            <v>11600</v>
          </cell>
        </row>
        <row r="133">
          <cell r="AH133">
            <v>11700</v>
          </cell>
          <cell r="AI133">
            <v>11700</v>
          </cell>
        </row>
        <row r="134">
          <cell r="AH134">
            <v>11800</v>
          </cell>
          <cell r="AI134">
            <v>11800</v>
          </cell>
        </row>
        <row r="135">
          <cell r="AH135">
            <v>11900</v>
          </cell>
          <cell r="AI135">
            <v>11900</v>
          </cell>
        </row>
        <row r="136">
          <cell r="AH136">
            <v>12000</v>
          </cell>
          <cell r="AI136">
            <v>12000</v>
          </cell>
        </row>
        <row r="137">
          <cell r="AH137">
            <v>12100</v>
          </cell>
          <cell r="AI137">
            <v>12100</v>
          </cell>
        </row>
        <row r="138">
          <cell r="AH138">
            <v>12200</v>
          </cell>
          <cell r="AI138">
            <v>12200</v>
          </cell>
        </row>
        <row r="139">
          <cell r="AH139">
            <v>12300</v>
          </cell>
          <cell r="AI139">
            <v>12300</v>
          </cell>
        </row>
        <row r="140">
          <cell r="AH140">
            <v>12400</v>
          </cell>
          <cell r="AI140">
            <v>12400</v>
          </cell>
        </row>
        <row r="141">
          <cell r="AH141">
            <v>12500</v>
          </cell>
          <cell r="AI141">
            <v>12500</v>
          </cell>
        </row>
        <row r="142">
          <cell r="AH142">
            <v>12600</v>
          </cell>
          <cell r="AI142">
            <v>12600</v>
          </cell>
        </row>
        <row r="143">
          <cell r="AH143">
            <v>12700</v>
          </cell>
          <cell r="AI143">
            <v>12700</v>
          </cell>
        </row>
        <row r="144">
          <cell r="AH144">
            <v>12800</v>
          </cell>
          <cell r="AI144">
            <v>12800</v>
          </cell>
        </row>
        <row r="145">
          <cell r="AH145">
            <v>12900</v>
          </cell>
          <cell r="AI145">
            <v>12900</v>
          </cell>
        </row>
        <row r="146">
          <cell r="AH146">
            <v>13000</v>
          </cell>
          <cell r="AI146">
            <v>13000</v>
          </cell>
        </row>
        <row r="147">
          <cell r="AH147">
            <v>13100</v>
          </cell>
          <cell r="AI147">
            <v>13100</v>
          </cell>
        </row>
        <row r="148">
          <cell r="AH148">
            <v>13200</v>
          </cell>
          <cell r="AI148">
            <v>13200</v>
          </cell>
        </row>
        <row r="149">
          <cell r="AH149">
            <v>13300</v>
          </cell>
          <cell r="AI149">
            <v>13300</v>
          </cell>
        </row>
        <row r="150">
          <cell r="AH150">
            <v>13400</v>
          </cell>
          <cell r="AI150">
            <v>13400</v>
          </cell>
        </row>
        <row r="151">
          <cell r="AH151">
            <v>13500</v>
          </cell>
          <cell r="AI151">
            <v>13500</v>
          </cell>
        </row>
        <row r="152">
          <cell r="AH152">
            <v>13600</v>
          </cell>
          <cell r="AI152">
            <v>13600</v>
          </cell>
        </row>
        <row r="153">
          <cell r="AH153">
            <v>13700</v>
          </cell>
          <cell r="AI153">
            <v>13700</v>
          </cell>
        </row>
        <row r="154">
          <cell r="AH154">
            <v>13800</v>
          </cell>
          <cell r="AI154">
            <v>13800</v>
          </cell>
        </row>
        <row r="155">
          <cell r="AH155">
            <v>13900</v>
          </cell>
          <cell r="AI155">
            <v>13900</v>
          </cell>
        </row>
        <row r="156">
          <cell r="AH156">
            <v>14000</v>
          </cell>
          <cell r="AI156">
            <v>14000</v>
          </cell>
        </row>
        <row r="157">
          <cell r="AH157">
            <v>14500</v>
          </cell>
          <cell r="AI157">
            <v>14500</v>
          </cell>
        </row>
        <row r="158">
          <cell r="AH158">
            <v>15000</v>
          </cell>
          <cell r="AI158">
            <v>15000</v>
          </cell>
        </row>
        <row r="159">
          <cell r="AH159">
            <v>15500</v>
          </cell>
          <cell r="AI159">
            <v>15500</v>
          </cell>
        </row>
        <row r="160">
          <cell r="AH160">
            <v>16000</v>
          </cell>
          <cell r="AI160">
            <v>16000</v>
          </cell>
        </row>
        <row r="161">
          <cell r="AH161">
            <v>16500</v>
          </cell>
          <cell r="AI161">
            <v>16500</v>
          </cell>
        </row>
        <row r="162">
          <cell r="AH162">
            <v>17000</v>
          </cell>
          <cell r="AI162">
            <v>17000</v>
          </cell>
        </row>
        <row r="163">
          <cell r="AH163">
            <v>17500</v>
          </cell>
          <cell r="AI163">
            <v>17500</v>
          </cell>
        </row>
        <row r="164">
          <cell r="AH164">
            <v>18000</v>
          </cell>
          <cell r="AI164">
            <v>18000</v>
          </cell>
        </row>
        <row r="165">
          <cell r="AH165">
            <v>18500</v>
          </cell>
          <cell r="AI165">
            <v>18500</v>
          </cell>
        </row>
        <row r="166">
          <cell r="AH166">
            <v>19000</v>
          </cell>
          <cell r="AI166">
            <v>19000</v>
          </cell>
        </row>
        <row r="167">
          <cell r="AH167">
            <v>19500</v>
          </cell>
          <cell r="AI167">
            <v>19500</v>
          </cell>
        </row>
        <row r="168">
          <cell r="AH168">
            <v>20000</v>
          </cell>
          <cell r="AI168">
            <v>20000</v>
          </cell>
        </row>
        <row r="169">
          <cell r="AH169">
            <v>21000</v>
          </cell>
          <cell r="AI169">
            <v>21000</v>
          </cell>
        </row>
        <row r="170">
          <cell r="AH170">
            <v>22000</v>
          </cell>
          <cell r="AI170">
            <v>22000</v>
          </cell>
        </row>
        <row r="171">
          <cell r="AH171">
            <v>23000</v>
          </cell>
          <cell r="AI171">
            <v>23000</v>
          </cell>
        </row>
        <row r="172">
          <cell r="AH172">
            <v>24000</v>
          </cell>
          <cell r="AI172">
            <v>24000</v>
          </cell>
        </row>
        <row r="173">
          <cell r="AH173">
            <v>25000</v>
          </cell>
          <cell r="AI173">
            <v>25000</v>
          </cell>
        </row>
        <row r="174">
          <cell r="AH174">
            <v>26000</v>
          </cell>
          <cell r="AI174">
            <v>26000</v>
          </cell>
        </row>
        <row r="175">
          <cell r="AH175">
            <v>27000</v>
          </cell>
          <cell r="AI175">
            <v>27000</v>
          </cell>
        </row>
        <row r="176">
          <cell r="AH176">
            <v>28000</v>
          </cell>
          <cell r="AI176">
            <v>28000</v>
          </cell>
        </row>
        <row r="177">
          <cell r="AH177">
            <v>29000</v>
          </cell>
          <cell r="AI177">
            <v>29000</v>
          </cell>
        </row>
        <row r="178">
          <cell r="AH178">
            <v>30000</v>
          </cell>
          <cell r="AI178">
            <v>30000</v>
          </cell>
        </row>
        <row r="179">
          <cell r="AH179">
            <v>31000</v>
          </cell>
          <cell r="AI179">
            <v>31000</v>
          </cell>
        </row>
        <row r="180">
          <cell r="AH180">
            <v>32000</v>
          </cell>
          <cell r="AI180">
            <v>32000</v>
          </cell>
        </row>
        <row r="181">
          <cell r="AH181">
            <v>33000</v>
          </cell>
          <cell r="AI181">
            <v>33000</v>
          </cell>
        </row>
        <row r="182">
          <cell r="AH182">
            <v>34000</v>
          </cell>
          <cell r="AI182">
            <v>34000</v>
          </cell>
        </row>
        <row r="183">
          <cell r="AH183">
            <v>35000</v>
          </cell>
          <cell r="AI183">
            <v>35000</v>
          </cell>
        </row>
        <row r="184">
          <cell r="AH184">
            <v>36000</v>
          </cell>
          <cell r="AI184">
            <v>36000</v>
          </cell>
        </row>
        <row r="185">
          <cell r="AH185">
            <v>37000</v>
          </cell>
          <cell r="AI185">
            <v>37000</v>
          </cell>
        </row>
        <row r="186">
          <cell r="AH186">
            <v>38000</v>
          </cell>
          <cell r="AI186">
            <v>38000</v>
          </cell>
        </row>
        <row r="187">
          <cell r="AH187">
            <v>39000</v>
          </cell>
          <cell r="AI187">
            <v>39000</v>
          </cell>
        </row>
        <row r="188">
          <cell r="AH188">
            <v>40000</v>
          </cell>
          <cell r="AI188">
            <v>40000</v>
          </cell>
        </row>
        <row r="189">
          <cell r="AH189">
            <v>41000</v>
          </cell>
          <cell r="AI189">
            <v>41000</v>
          </cell>
        </row>
        <row r="190">
          <cell r="AH190">
            <v>42000</v>
          </cell>
          <cell r="AI190">
            <v>42000</v>
          </cell>
        </row>
        <row r="191">
          <cell r="AH191">
            <v>43000</v>
          </cell>
          <cell r="AI191">
            <v>43000</v>
          </cell>
        </row>
        <row r="192">
          <cell r="AH192">
            <v>44000</v>
          </cell>
          <cell r="AI192">
            <v>44000</v>
          </cell>
        </row>
        <row r="193">
          <cell r="AH193">
            <v>45000</v>
          </cell>
          <cell r="AI193">
            <v>45000</v>
          </cell>
        </row>
        <row r="194">
          <cell r="AH194">
            <v>46000</v>
          </cell>
          <cell r="AI194">
            <v>46000</v>
          </cell>
        </row>
        <row r="195">
          <cell r="AH195">
            <v>47000</v>
          </cell>
          <cell r="AI195">
            <v>47000</v>
          </cell>
        </row>
        <row r="196">
          <cell r="AH196">
            <v>48000</v>
          </cell>
          <cell r="AI196">
            <v>48000</v>
          </cell>
        </row>
        <row r="197">
          <cell r="AH197">
            <v>49000</v>
          </cell>
          <cell r="AI197">
            <v>49000</v>
          </cell>
        </row>
        <row r="198">
          <cell r="AH198">
            <v>50000</v>
          </cell>
          <cell r="AI198">
            <v>50000</v>
          </cell>
        </row>
        <row r="199">
          <cell r="AH199">
            <v>55000</v>
          </cell>
          <cell r="AI199">
            <v>55000</v>
          </cell>
        </row>
        <row r="200">
          <cell r="AH200">
            <v>60000</v>
          </cell>
          <cell r="AI200">
            <v>60000</v>
          </cell>
        </row>
        <row r="201">
          <cell r="AH201">
            <v>65000</v>
          </cell>
          <cell r="AI201">
            <v>65000</v>
          </cell>
        </row>
        <row r="202">
          <cell r="AH202">
            <v>70000</v>
          </cell>
          <cell r="AI202">
            <v>70000</v>
          </cell>
        </row>
        <row r="203">
          <cell r="AH203">
            <v>75000</v>
          </cell>
          <cell r="AI203">
            <v>75000</v>
          </cell>
        </row>
        <row r="204">
          <cell r="AH204">
            <v>80000</v>
          </cell>
          <cell r="AI204">
            <v>80000</v>
          </cell>
        </row>
        <row r="205">
          <cell r="AH205">
            <v>85000</v>
          </cell>
          <cell r="AI205">
            <v>85000</v>
          </cell>
        </row>
        <row r="206">
          <cell r="AH206">
            <v>90000</v>
          </cell>
          <cell r="AI206">
            <v>90000</v>
          </cell>
        </row>
        <row r="207">
          <cell r="AH207">
            <v>95000</v>
          </cell>
          <cell r="AI207">
            <v>95000</v>
          </cell>
        </row>
        <row r="208">
          <cell r="AH208">
            <v>100000</v>
          </cell>
          <cell r="AI208">
            <v>100000</v>
          </cell>
        </row>
        <row r="209">
          <cell r="AH209">
            <v>110000</v>
          </cell>
          <cell r="AI209">
            <v>110000</v>
          </cell>
        </row>
        <row r="210">
          <cell r="AH210">
            <v>120000</v>
          </cell>
          <cell r="AI210">
            <v>120000</v>
          </cell>
        </row>
        <row r="211">
          <cell r="AH211">
            <v>130000</v>
          </cell>
          <cell r="AI211">
            <v>130000</v>
          </cell>
        </row>
        <row r="212">
          <cell r="AH212">
            <v>140000</v>
          </cell>
          <cell r="AI212">
            <v>140000</v>
          </cell>
        </row>
        <row r="213">
          <cell r="AH213">
            <v>150000</v>
          </cell>
          <cell r="AI213">
            <v>150000</v>
          </cell>
        </row>
        <row r="214">
          <cell r="AH214">
            <v>160000</v>
          </cell>
          <cell r="AI214">
            <v>160000</v>
          </cell>
        </row>
        <row r="215">
          <cell r="AH215">
            <v>170000</v>
          </cell>
          <cell r="AI215">
            <v>170000</v>
          </cell>
        </row>
        <row r="216">
          <cell r="AH216">
            <v>180000</v>
          </cell>
          <cell r="AI216">
            <v>180000</v>
          </cell>
        </row>
        <row r="217">
          <cell r="AH217">
            <v>190000</v>
          </cell>
          <cell r="AI217">
            <v>190000</v>
          </cell>
        </row>
        <row r="218">
          <cell r="AH218">
            <v>200000</v>
          </cell>
          <cell r="AI218">
            <v>200000</v>
          </cell>
        </row>
        <row r="219">
          <cell r="AH219">
            <v>210000</v>
          </cell>
          <cell r="AI219">
            <v>210000</v>
          </cell>
        </row>
        <row r="220">
          <cell r="AH220">
            <v>220000</v>
          </cell>
          <cell r="AI220">
            <v>220000</v>
          </cell>
        </row>
        <row r="221">
          <cell r="AH221">
            <v>230000</v>
          </cell>
          <cell r="AI221">
            <v>230000</v>
          </cell>
        </row>
        <row r="222">
          <cell r="AH222">
            <v>240000</v>
          </cell>
          <cell r="AI222">
            <v>240000</v>
          </cell>
        </row>
        <row r="223">
          <cell r="AH223">
            <v>250000</v>
          </cell>
          <cell r="AI223">
            <v>250000</v>
          </cell>
        </row>
        <row r="224">
          <cell r="AH224">
            <v>260000</v>
          </cell>
          <cell r="AI224">
            <v>260000</v>
          </cell>
        </row>
        <row r="225">
          <cell r="AH225">
            <v>270000</v>
          </cell>
          <cell r="AI225">
            <v>270000</v>
          </cell>
        </row>
        <row r="226">
          <cell r="AH226">
            <v>280000</v>
          </cell>
          <cell r="AI226">
            <v>280000</v>
          </cell>
        </row>
        <row r="227">
          <cell r="AH227">
            <v>290000</v>
          </cell>
          <cell r="AI227">
            <v>290000</v>
          </cell>
        </row>
        <row r="228">
          <cell r="AH228">
            <v>300000</v>
          </cell>
          <cell r="AI228">
            <v>300000</v>
          </cell>
        </row>
        <row r="229">
          <cell r="AH229">
            <v>310000</v>
          </cell>
          <cell r="AI229">
            <v>310000</v>
          </cell>
        </row>
        <row r="230">
          <cell r="AH230">
            <v>320000</v>
          </cell>
          <cell r="AI230">
            <v>320000</v>
          </cell>
        </row>
        <row r="231">
          <cell r="AH231">
            <v>330000</v>
          </cell>
          <cell r="AI231">
            <v>330000</v>
          </cell>
        </row>
        <row r="232">
          <cell r="AH232">
            <v>340000</v>
          </cell>
          <cell r="AI232">
            <v>340000</v>
          </cell>
        </row>
        <row r="233">
          <cell r="AH233">
            <v>350000</v>
          </cell>
          <cell r="AI233">
            <v>350000</v>
          </cell>
        </row>
        <row r="234">
          <cell r="AH234">
            <v>360000</v>
          </cell>
          <cell r="AI234">
            <v>360000</v>
          </cell>
        </row>
        <row r="235">
          <cell r="AH235">
            <v>370000</v>
          </cell>
          <cell r="AI235">
            <v>370000</v>
          </cell>
        </row>
        <row r="236">
          <cell r="AH236">
            <v>380000</v>
          </cell>
          <cell r="AI236">
            <v>380000</v>
          </cell>
        </row>
        <row r="237">
          <cell r="AH237">
            <v>390000</v>
          </cell>
          <cell r="AI237">
            <v>390000</v>
          </cell>
        </row>
        <row r="238">
          <cell r="AH238">
            <v>400000</v>
          </cell>
          <cell r="AI238">
            <v>400000</v>
          </cell>
        </row>
        <row r="239">
          <cell r="AH239">
            <v>410000</v>
          </cell>
          <cell r="AI239">
            <v>410000</v>
          </cell>
        </row>
        <row r="240">
          <cell r="AH240">
            <v>420000</v>
          </cell>
          <cell r="AI240">
            <v>420000</v>
          </cell>
        </row>
        <row r="241">
          <cell r="AH241">
            <v>430000</v>
          </cell>
          <cell r="AI241">
            <v>430000</v>
          </cell>
        </row>
        <row r="242">
          <cell r="AH242">
            <v>440000</v>
          </cell>
          <cell r="AI242">
            <v>440000</v>
          </cell>
        </row>
        <row r="243">
          <cell r="AH243">
            <v>450000</v>
          </cell>
          <cell r="AI243">
            <v>450000</v>
          </cell>
        </row>
        <row r="244">
          <cell r="AH244">
            <v>460000</v>
          </cell>
          <cell r="AI244">
            <v>460000</v>
          </cell>
        </row>
        <row r="245">
          <cell r="AH245">
            <v>470000</v>
          </cell>
          <cell r="AI245">
            <v>470000</v>
          </cell>
        </row>
        <row r="246">
          <cell r="AH246">
            <v>480000</v>
          </cell>
          <cell r="AI246">
            <v>480000</v>
          </cell>
        </row>
        <row r="247">
          <cell r="AH247">
            <v>490000</v>
          </cell>
          <cell r="AI247">
            <v>490000</v>
          </cell>
        </row>
        <row r="248">
          <cell r="AH248">
            <v>500000</v>
          </cell>
          <cell r="AI248">
            <v>500000</v>
          </cell>
        </row>
      </sheetData>
      <sheetData sheetId="8"/>
      <sheetData sheetId="9"/>
      <sheetData sheetId="10">
        <row r="1">
          <cell r="A1" t="str">
            <v>Linha</v>
          </cell>
          <cell r="D1" t="b">
            <v>0</v>
          </cell>
          <cell r="E1"/>
        </row>
        <row r="2">
          <cell r="D2"/>
          <cell r="E2"/>
        </row>
        <row r="3">
          <cell r="D3"/>
          <cell r="E3"/>
        </row>
        <row r="4">
          <cell r="D4"/>
          <cell r="E4"/>
        </row>
        <row r="5">
          <cell r="D5"/>
          <cell r="E5"/>
        </row>
        <row r="6">
          <cell r="D6"/>
          <cell r="E6"/>
        </row>
        <row r="7">
          <cell r="D7"/>
          <cell r="E7"/>
        </row>
        <row r="8">
          <cell r="D8"/>
          <cell r="E8"/>
        </row>
        <row r="9">
          <cell r="D9"/>
          <cell r="E9"/>
        </row>
        <row r="10">
          <cell r="D10"/>
          <cell r="E10"/>
        </row>
        <row r="11">
          <cell r="D11"/>
          <cell r="E11"/>
        </row>
        <row r="12">
          <cell r="D12"/>
          <cell r="E12"/>
        </row>
        <row r="13">
          <cell r="D13"/>
          <cell r="E13"/>
        </row>
        <row r="14">
          <cell r="D14"/>
          <cell r="E14"/>
        </row>
        <row r="15">
          <cell r="D15"/>
          <cell r="E15"/>
        </row>
        <row r="16">
          <cell r="D16"/>
          <cell r="E16"/>
        </row>
        <row r="17">
          <cell r="D17"/>
          <cell r="E17"/>
        </row>
        <row r="18">
          <cell r="D18"/>
          <cell r="E18"/>
        </row>
        <row r="19">
          <cell r="D19"/>
          <cell r="E19"/>
        </row>
        <row r="20">
          <cell r="D20"/>
          <cell r="E20"/>
        </row>
        <row r="21">
          <cell r="D21"/>
          <cell r="E21"/>
        </row>
        <row r="22">
          <cell r="D22"/>
          <cell r="E22"/>
        </row>
        <row r="23">
          <cell r="D23"/>
          <cell r="E23"/>
        </row>
        <row r="24">
          <cell r="D24"/>
          <cell r="E24"/>
        </row>
        <row r="25">
          <cell r="D25"/>
          <cell r="E25"/>
        </row>
        <row r="26">
          <cell r="D26"/>
          <cell r="E26"/>
        </row>
        <row r="27">
          <cell r="D27"/>
          <cell r="E27"/>
        </row>
        <row r="28">
          <cell r="D28"/>
          <cell r="E28"/>
        </row>
        <row r="29">
          <cell r="D29"/>
          <cell r="E29"/>
        </row>
        <row r="30">
          <cell r="D30"/>
          <cell r="E30"/>
        </row>
        <row r="31">
          <cell r="D31"/>
          <cell r="E31"/>
        </row>
        <row r="32">
          <cell r="D32"/>
          <cell r="E32"/>
        </row>
        <row r="33">
          <cell r="D33"/>
          <cell r="E33"/>
        </row>
        <row r="34">
          <cell r="D34"/>
          <cell r="E34"/>
        </row>
        <row r="35">
          <cell r="D35"/>
          <cell r="E35"/>
        </row>
        <row r="36">
          <cell r="D36"/>
          <cell r="E36"/>
        </row>
        <row r="37">
          <cell r="D37"/>
          <cell r="E37"/>
        </row>
        <row r="38">
          <cell r="D38"/>
          <cell r="E38"/>
        </row>
        <row r="39">
          <cell r="D39"/>
          <cell r="E39"/>
        </row>
        <row r="40">
          <cell r="D40"/>
          <cell r="E40"/>
        </row>
        <row r="41">
          <cell r="D41"/>
          <cell r="E41"/>
        </row>
        <row r="42">
          <cell r="D42"/>
          <cell r="E42"/>
        </row>
        <row r="43">
          <cell r="D43"/>
          <cell r="E43"/>
        </row>
        <row r="44">
          <cell r="D44"/>
          <cell r="E44"/>
        </row>
        <row r="45">
          <cell r="D45"/>
          <cell r="E45"/>
        </row>
        <row r="46">
          <cell r="D46"/>
          <cell r="E46"/>
        </row>
        <row r="47">
          <cell r="D47"/>
          <cell r="E47"/>
        </row>
        <row r="48">
          <cell r="D48"/>
          <cell r="E48"/>
        </row>
        <row r="49">
          <cell r="D49"/>
          <cell r="E49"/>
        </row>
        <row r="50">
          <cell r="D50"/>
          <cell r="E50"/>
        </row>
        <row r="51">
          <cell r="D51"/>
          <cell r="E51"/>
        </row>
        <row r="52">
          <cell r="D52"/>
          <cell r="E52"/>
        </row>
        <row r="53">
          <cell r="D53"/>
          <cell r="E53"/>
        </row>
        <row r="54">
          <cell r="D54"/>
          <cell r="E54"/>
        </row>
        <row r="55">
          <cell r="D55"/>
          <cell r="E55"/>
        </row>
        <row r="56">
          <cell r="D56"/>
          <cell r="E56"/>
        </row>
        <row r="57">
          <cell r="D57"/>
          <cell r="E57"/>
        </row>
        <row r="58">
          <cell r="D58"/>
          <cell r="E58"/>
        </row>
        <row r="59">
          <cell r="D59"/>
          <cell r="E59"/>
        </row>
        <row r="60">
          <cell r="D60"/>
          <cell r="E60"/>
        </row>
        <row r="61">
          <cell r="D61"/>
          <cell r="E61"/>
        </row>
        <row r="62">
          <cell r="D62"/>
          <cell r="E62"/>
        </row>
        <row r="63">
          <cell r="D63"/>
          <cell r="E63"/>
        </row>
        <row r="64">
          <cell r="D64"/>
          <cell r="E64"/>
        </row>
        <row r="65">
          <cell r="D65"/>
          <cell r="E65"/>
        </row>
        <row r="66">
          <cell r="D66"/>
          <cell r="E66"/>
        </row>
        <row r="67">
          <cell r="D67"/>
          <cell r="E67"/>
        </row>
        <row r="68">
          <cell r="D68"/>
          <cell r="E68"/>
        </row>
        <row r="69">
          <cell r="D69"/>
          <cell r="E69"/>
        </row>
        <row r="70">
          <cell r="D70"/>
          <cell r="E70"/>
        </row>
        <row r="71">
          <cell r="D71"/>
          <cell r="E71"/>
        </row>
        <row r="72">
          <cell r="D72"/>
          <cell r="E72"/>
        </row>
        <row r="73">
          <cell r="D73"/>
          <cell r="E73"/>
        </row>
        <row r="74">
          <cell r="D74"/>
          <cell r="E74"/>
        </row>
        <row r="75">
          <cell r="D75"/>
          <cell r="E75"/>
        </row>
        <row r="76">
          <cell r="D76"/>
          <cell r="E76"/>
        </row>
        <row r="77">
          <cell r="D77"/>
          <cell r="E77"/>
        </row>
        <row r="78">
          <cell r="D78"/>
          <cell r="E78"/>
        </row>
        <row r="79">
          <cell r="D79"/>
          <cell r="E79"/>
        </row>
        <row r="80">
          <cell r="D80"/>
          <cell r="E80"/>
        </row>
        <row r="81">
          <cell r="D81"/>
          <cell r="E81"/>
        </row>
        <row r="82">
          <cell r="D82"/>
          <cell r="E82"/>
        </row>
        <row r="83">
          <cell r="D83"/>
          <cell r="E83"/>
        </row>
        <row r="84">
          <cell r="D84"/>
          <cell r="E84"/>
        </row>
        <row r="85">
          <cell r="D85"/>
          <cell r="E85"/>
        </row>
        <row r="86">
          <cell r="D86"/>
          <cell r="E86"/>
        </row>
        <row r="87">
          <cell r="D87"/>
          <cell r="E87"/>
        </row>
        <row r="88">
          <cell r="D88"/>
          <cell r="E88"/>
        </row>
        <row r="89">
          <cell r="D89"/>
          <cell r="E89"/>
        </row>
        <row r="90">
          <cell r="D90"/>
          <cell r="E90"/>
        </row>
        <row r="91">
          <cell r="D91"/>
          <cell r="E91"/>
        </row>
        <row r="92">
          <cell r="D92"/>
          <cell r="E92"/>
        </row>
        <row r="93">
          <cell r="D93"/>
          <cell r="E93"/>
        </row>
        <row r="94">
          <cell r="D94"/>
          <cell r="E94"/>
        </row>
        <row r="95">
          <cell r="D95"/>
          <cell r="E95"/>
        </row>
        <row r="96">
          <cell r="D96"/>
          <cell r="E96"/>
        </row>
        <row r="97">
          <cell r="D97"/>
          <cell r="E97"/>
        </row>
        <row r="98">
          <cell r="D98"/>
          <cell r="E98"/>
        </row>
        <row r="99">
          <cell r="D99"/>
          <cell r="E99"/>
        </row>
        <row r="100">
          <cell r="D100"/>
          <cell r="E100"/>
        </row>
        <row r="101">
          <cell r="D101"/>
          <cell r="E101"/>
        </row>
        <row r="102">
          <cell r="D102"/>
          <cell r="E102"/>
        </row>
        <row r="103">
          <cell r="D103"/>
          <cell r="E103"/>
        </row>
        <row r="104">
          <cell r="D104"/>
          <cell r="E104"/>
        </row>
        <row r="105">
          <cell r="D105"/>
          <cell r="E105"/>
        </row>
        <row r="106">
          <cell r="D106"/>
          <cell r="E106"/>
        </row>
        <row r="107">
          <cell r="D107"/>
          <cell r="E107"/>
        </row>
        <row r="108">
          <cell r="D108"/>
          <cell r="E108"/>
        </row>
        <row r="109">
          <cell r="D109"/>
          <cell r="E109"/>
        </row>
        <row r="110">
          <cell r="D110"/>
          <cell r="E110"/>
        </row>
        <row r="111">
          <cell r="D111"/>
          <cell r="E111"/>
        </row>
        <row r="112">
          <cell r="D112"/>
          <cell r="E112"/>
        </row>
        <row r="113">
          <cell r="D113"/>
          <cell r="E113"/>
        </row>
        <row r="114">
          <cell r="D114"/>
          <cell r="E114"/>
        </row>
        <row r="115">
          <cell r="D115"/>
          <cell r="E115"/>
        </row>
        <row r="116">
          <cell r="D116"/>
          <cell r="E116"/>
        </row>
        <row r="117">
          <cell r="D117"/>
          <cell r="E117"/>
        </row>
        <row r="118">
          <cell r="D118"/>
          <cell r="E118"/>
        </row>
        <row r="119">
          <cell r="D119"/>
          <cell r="E119"/>
        </row>
        <row r="120">
          <cell r="D120"/>
          <cell r="E120"/>
        </row>
        <row r="121">
          <cell r="D121"/>
          <cell r="E121"/>
        </row>
        <row r="122">
          <cell r="D122"/>
          <cell r="E122"/>
        </row>
        <row r="123">
          <cell r="D123"/>
          <cell r="E123"/>
        </row>
        <row r="124">
          <cell r="D124"/>
          <cell r="E124"/>
        </row>
        <row r="125">
          <cell r="D125"/>
          <cell r="E125"/>
        </row>
        <row r="126">
          <cell r="D126"/>
          <cell r="E126"/>
        </row>
        <row r="127">
          <cell r="D127"/>
          <cell r="E127"/>
        </row>
        <row r="128">
          <cell r="D128"/>
          <cell r="E128"/>
        </row>
        <row r="129">
          <cell r="D129"/>
          <cell r="E129"/>
        </row>
        <row r="130">
          <cell r="D130"/>
          <cell r="E130"/>
        </row>
        <row r="131">
          <cell r="D131"/>
          <cell r="E131"/>
        </row>
        <row r="132">
          <cell r="D132"/>
          <cell r="E132"/>
        </row>
        <row r="133">
          <cell r="D133"/>
          <cell r="E133"/>
        </row>
        <row r="134">
          <cell r="D134"/>
          <cell r="E134"/>
        </row>
        <row r="135">
          <cell r="D135"/>
          <cell r="E135"/>
        </row>
        <row r="136">
          <cell r="D136"/>
          <cell r="E136"/>
        </row>
        <row r="137">
          <cell r="D137"/>
          <cell r="E137"/>
        </row>
        <row r="138">
          <cell r="D138"/>
          <cell r="E138"/>
        </row>
        <row r="139">
          <cell r="D139"/>
          <cell r="E139"/>
        </row>
        <row r="140">
          <cell r="D140"/>
          <cell r="E140"/>
        </row>
        <row r="141">
          <cell r="D141"/>
          <cell r="E141"/>
        </row>
        <row r="142">
          <cell r="D142"/>
          <cell r="E142"/>
        </row>
        <row r="143">
          <cell r="D143"/>
          <cell r="E143"/>
        </row>
        <row r="144">
          <cell r="D144"/>
          <cell r="E144"/>
        </row>
        <row r="145">
          <cell r="D145"/>
          <cell r="E145"/>
        </row>
        <row r="146">
          <cell r="D146"/>
          <cell r="E146"/>
        </row>
        <row r="147">
          <cell r="D147"/>
          <cell r="E147"/>
        </row>
        <row r="148">
          <cell r="D148"/>
          <cell r="E148"/>
        </row>
        <row r="149">
          <cell r="D149"/>
          <cell r="E149"/>
        </row>
        <row r="150">
          <cell r="D150"/>
          <cell r="E150"/>
        </row>
        <row r="151">
          <cell r="D151"/>
          <cell r="E151"/>
        </row>
        <row r="152">
          <cell r="D152"/>
          <cell r="E152"/>
        </row>
        <row r="153">
          <cell r="D153"/>
          <cell r="E153"/>
        </row>
        <row r="154">
          <cell r="D154"/>
          <cell r="E154"/>
        </row>
        <row r="155">
          <cell r="D155"/>
          <cell r="E155"/>
        </row>
      </sheetData>
      <sheetData sheetId="11">
        <row r="2">
          <cell r="A2" t="str">
            <v>Planos de Voz Local \ Dados</v>
          </cell>
        </row>
        <row r="3">
          <cell r="A3" t="str">
            <v>Planos Degrau LD</v>
          </cell>
        </row>
        <row r="4">
          <cell r="A4" t="str">
            <v>Assinatura</v>
          </cell>
        </row>
        <row r="5">
          <cell r="A5" t="str">
            <v>VC1 Franquia</v>
          </cell>
        </row>
        <row r="6">
          <cell r="A6" t="str">
            <v>VC1 On Net</v>
          </cell>
        </row>
        <row r="7">
          <cell r="A7" t="str">
            <v>VC1 Off Net</v>
          </cell>
        </row>
        <row r="8">
          <cell r="A8" t="str">
            <v>VC1 MF</v>
          </cell>
        </row>
        <row r="9">
          <cell r="A9" t="str">
            <v>VC2 On Net</v>
          </cell>
        </row>
        <row r="10">
          <cell r="A10" t="str">
            <v>VC2 Off Net</v>
          </cell>
        </row>
        <row r="11">
          <cell r="A11" t="str">
            <v>VC2 MF</v>
          </cell>
        </row>
        <row r="12">
          <cell r="A12" t="str">
            <v>VC3 On Net</v>
          </cell>
        </row>
        <row r="13">
          <cell r="A13" t="str">
            <v>VC3 Off Net</v>
          </cell>
        </row>
        <row r="14">
          <cell r="A14" t="str">
            <v>VC3 MF</v>
          </cell>
        </row>
        <row r="15">
          <cell r="A15" t="str">
            <v>Tipo de Pacotes</v>
          </cell>
        </row>
        <row r="16">
          <cell r="A16" t="str">
            <v>Zero LOCAL 2000</v>
          </cell>
        </row>
        <row r="17">
          <cell r="A17" t="str">
            <v>Zero LOCAL 2500</v>
          </cell>
        </row>
        <row r="18">
          <cell r="A18" t="str">
            <v>Zero LOCAL 3000</v>
          </cell>
        </row>
        <row r="19">
          <cell r="A19" t="str">
            <v>Intra-Rede 2000 Local</v>
          </cell>
        </row>
        <row r="20">
          <cell r="A20" t="str">
            <v>Zero LOCAL 2000 + INTRA-REDE 2000 LOCAL</v>
          </cell>
        </row>
        <row r="21">
          <cell r="A21" t="str">
            <v>Zero LOCAL 2500 + INTRA-REDE 2000 LOCAL</v>
          </cell>
        </row>
        <row r="22">
          <cell r="A22" t="str">
            <v>Zero LOCAL 3000 + INTRA-REDE 2000 LOCAL</v>
          </cell>
        </row>
        <row r="23">
          <cell r="A23" t="str">
            <v>SMS OnNet</v>
          </cell>
        </row>
        <row r="24">
          <cell r="A24" t="str">
            <v>SMS offNet</v>
          </cell>
        </row>
        <row r="25">
          <cell r="A25" t="str">
            <v>Subsidio</v>
          </cell>
        </row>
        <row r="26">
          <cell r="A26" t="str">
            <v>CdUF</v>
          </cell>
          <cell r="AB26" t="str">
            <v>CdAparelhos</v>
          </cell>
        </row>
        <row r="27">
          <cell r="A27" t="str">
            <v>Linha</v>
          </cell>
        </row>
      </sheetData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XFC87"/>
  <sheetViews>
    <sheetView showGridLines="0" showRowColHeaders="0" tabSelected="1" zoomScale="90" zoomScaleNormal="90" workbookViewId="0">
      <selection activeCell="F66" sqref="F66:H66"/>
    </sheetView>
  </sheetViews>
  <sheetFormatPr defaultColWidth="0" defaultRowHeight="15.75" customHeight="1" zeroHeight="1"/>
  <cols>
    <col min="1" max="1" width="1.7109375" style="1" customWidth="1"/>
    <col min="2" max="2" width="38.28515625" style="2" customWidth="1"/>
    <col min="3" max="3" width="31.7109375" style="1" customWidth="1"/>
    <col min="4" max="4" width="19.5703125" style="1" customWidth="1"/>
    <col min="5" max="6" width="16.140625" style="1" customWidth="1"/>
    <col min="7" max="7" width="33.140625" style="1" customWidth="1"/>
    <col min="8" max="8" width="12.28515625" style="1" customWidth="1"/>
    <col min="9" max="9" width="2.7109375" style="35" customWidth="1"/>
    <col min="10" max="10" width="9.140625" style="2" hidden="1" customWidth="1"/>
    <col min="11" max="16383" width="9.140625" style="1" hidden="1"/>
    <col min="16384" max="16384" width="5.5703125" style="1" hidden="1" customWidth="1"/>
  </cols>
  <sheetData>
    <row r="1" spans="1:11" ht="6.75" customHeight="1">
      <c r="B1" s="1"/>
    </row>
    <row r="2" spans="1:11">
      <c r="B2" s="45" t="s">
        <v>21</v>
      </c>
      <c r="C2" s="46"/>
      <c r="D2" s="46"/>
      <c r="E2" s="46"/>
      <c r="F2" s="46"/>
      <c r="G2" s="46"/>
      <c r="H2" s="47"/>
      <c r="I2" s="35">
        <f>SUM(I7,H70:H71)</f>
        <v>1</v>
      </c>
    </row>
    <row r="3" spans="1:11" ht="6.75" customHeight="1">
      <c r="B3" s="34"/>
      <c r="C3" s="34"/>
      <c r="D3" s="34"/>
      <c r="E3" s="34"/>
      <c r="F3" s="34"/>
      <c r="G3" s="34"/>
      <c r="H3" s="34"/>
    </row>
    <row r="4" spans="1:11">
      <c r="B4" s="48" t="s">
        <v>10</v>
      </c>
      <c r="C4" s="49"/>
      <c r="D4" s="49"/>
      <c r="E4" s="49"/>
      <c r="F4" s="49"/>
      <c r="G4" s="49"/>
      <c r="H4" s="49"/>
      <c r="J4" s="2">
        <f>K7+K9</f>
        <v>0</v>
      </c>
    </row>
    <row r="5" spans="1:11" ht="6.75" customHeight="1">
      <c r="B5" s="34"/>
      <c r="C5" s="34"/>
      <c r="D5" s="34"/>
      <c r="E5" s="34"/>
      <c r="F5" s="34"/>
      <c r="G5" s="34"/>
      <c r="H5" s="34"/>
    </row>
    <row r="6" spans="1:11">
      <c r="B6" s="50" t="s">
        <v>11</v>
      </c>
      <c r="C6" s="50"/>
      <c r="D6" s="50"/>
      <c r="E6" s="50"/>
      <c r="F6" s="50" t="s">
        <v>12</v>
      </c>
      <c r="G6" s="50"/>
      <c r="H6" s="50"/>
    </row>
    <row r="7" spans="1:11">
      <c r="B7" s="51"/>
      <c r="C7" s="51"/>
      <c r="D7" s="51"/>
      <c r="E7" s="51"/>
      <c r="F7" s="52"/>
      <c r="G7" s="52"/>
      <c r="H7" s="52"/>
      <c r="I7" s="35">
        <f>IF(OR(B7="",F7=""),1,0)</f>
        <v>1</v>
      </c>
    </row>
    <row r="8" spans="1:11" ht="6.75" customHeight="1">
      <c r="B8" s="1"/>
    </row>
    <row r="9" spans="1:11">
      <c r="A9" s="3"/>
      <c r="B9" s="48" t="s">
        <v>1</v>
      </c>
      <c r="C9" s="49"/>
      <c r="D9" s="49"/>
      <c r="E9" s="49"/>
      <c r="F9" s="49"/>
      <c r="G9" s="49"/>
      <c r="H9" s="49"/>
    </row>
    <row r="10" spans="1:11" ht="6.75" customHeight="1">
      <c r="A10" s="3"/>
      <c r="B10" s="1"/>
    </row>
    <row r="11" spans="1:11" s="6" customFormat="1">
      <c r="A11" s="3"/>
      <c r="B11" s="4" t="s">
        <v>2</v>
      </c>
      <c r="C11" s="55"/>
      <c r="D11" s="56"/>
      <c r="E11" s="56"/>
      <c r="F11" s="5"/>
      <c r="G11" s="5"/>
      <c r="H11" s="5"/>
      <c r="I11" s="36"/>
      <c r="J11" s="7"/>
    </row>
    <row r="12" spans="1:11" ht="6.75" customHeight="1">
      <c r="A12" s="3"/>
      <c r="B12" s="1"/>
    </row>
    <row r="13" spans="1:11" s="11" customFormat="1" ht="35.25" customHeight="1">
      <c r="A13" s="8"/>
      <c r="B13" s="9" t="s">
        <v>3</v>
      </c>
      <c r="C13" s="10" t="s">
        <v>4</v>
      </c>
      <c r="D13" s="10" t="s">
        <v>5</v>
      </c>
      <c r="E13" s="10" t="s">
        <v>0</v>
      </c>
      <c r="F13" s="10" t="s">
        <v>6</v>
      </c>
      <c r="G13" s="57" t="s">
        <v>7</v>
      </c>
      <c r="H13" s="58"/>
      <c r="I13" s="37"/>
      <c r="J13" s="12"/>
    </row>
    <row r="14" spans="1:11">
      <c r="A14" s="3"/>
      <c r="B14" s="13"/>
      <c r="C14" s="14"/>
      <c r="D14" s="15"/>
      <c r="E14" s="16"/>
      <c r="F14" s="15"/>
      <c r="G14" s="59"/>
      <c r="H14" s="60"/>
      <c r="J14" s="2">
        <f>IF(AND(B14&lt;&gt;"",OR(C14="",D14="",E14="",F14="",G14="")),1,0)</f>
        <v>0</v>
      </c>
      <c r="K14" s="1">
        <f>IF(B14="",1,0)</f>
        <v>1</v>
      </c>
    </row>
    <row r="15" spans="1:11">
      <c r="A15" s="3"/>
      <c r="B15" s="17"/>
      <c r="C15" s="18"/>
      <c r="D15" s="19"/>
      <c r="E15" s="20"/>
      <c r="F15" s="19"/>
      <c r="G15" s="61"/>
      <c r="H15" s="62"/>
      <c r="J15" s="2">
        <f t="shared" ref="J15:J42" si="0">IF(AND(B15&lt;&gt;"",C15="",D15="",E15="",F15="",G15=""),1,0)</f>
        <v>0</v>
      </c>
    </row>
    <row r="16" spans="1:11">
      <c r="A16" s="3"/>
      <c r="B16" s="17"/>
      <c r="C16" s="18"/>
      <c r="D16" s="19"/>
      <c r="E16" s="20"/>
      <c r="F16" s="19"/>
      <c r="G16" s="61"/>
      <c r="H16" s="62"/>
      <c r="J16" s="2">
        <f t="shared" si="0"/>
        <v>0</v>
      </c>
    </row>
    <row r="17" spans="1:10">
      <c r="A17" s="3"/>
      <c r="B17" s="17"/>
      <c r="C17" s="18"/>
      <c r="D17" s="19"/>
      <c r="E17" s="20"/>
      <c r="F17" s="19"/>
      <c r="G17" s="61"/>
      <c r="H17" s="62"/>
      <c r="J17" s="2">
        <f t="shared" si="0"/>
        <v>0</v>
      </c>
    </row>
    <row r="18" spans="1:10">
      <c r="A18" s="3"/>
      <c r="B18" s="17"/>
      <c r="C18" s="18"/>
      <c r="D18" s="19"/>
      <c r="E18" s="20"/>
      <c r="F18" s="19"/>
      <c r="G18" s="61"/>
      <c r="H18" s="62"/>
      <c r="J18" s="2">
        <f t="shared" si="0"/>
        <v>0</v>
      </c>
    </row>
    <row r="19" spans="1:10">
      <c r="A19" s="3"/>
      <c r="B19" s="17"/>
      <c r="C19" s="18"/>
      <c r="D19" s="19"/>
      <c r="E19" s="20"/>
      <c r="F19" s="19"/>
      <c r="G19" s="53"/>
      <c r="H19" s="54"/>
      <c r="J19" s="2">
        <f t="shared" si="0"/>
        <v>0</v>
      </c>
    </row>
    <row r="20" spans="1:10">
      <c r="A20" s="3"/>
      <c r="B20" s="17"/>
      <c r="C20" s="18"/>
      <c r="D20" s="19"/>
      <c r="E20" s="20"/>
      <c r="F20" s="19"/>
      <c r="G20" s="53"/>
      <c r="H20" s="54"/>
      <c r="J20" s="2">
        <f t="shared" si="0"/>
        <v>0</v>
      </c>
    </row>
    <row r="21" spans="1:10">
      <c r="A21" s="3"/>
      <c r="B21" s="17"/>
      <c r="C21" s="18"/>
      <c r="D21" s="19"/>
      <c r="E21" s="20"/>
      <c r="F21" s="19"/>
      <c r="G21" s="53"/>
      <c r="H21" s="54"/>
      <c r="J21" s="2">
        <f t="shared" si="0"/>
        <v>0</v>
      </c>
    </row>
    <row r="22" spans="1:10">
      <c r="A22" s="3"/>
      <c r="B22" s="17"/>
      <c r="C22" s="18"/>
      <c r="D22" s="19"/>
      <c r="E22" s="20"/>
      <c r="F22" s="19"/>
      <c r="G22" s="53"/>
      <c r="H22" s="54"/>
      <c r="J22" s="2">
        <f t="shared" si="0"/>
        <v>0</v>
      </c>
    </row>
    <row r="23" spans="1:10">
      <c r="A23" s="3"/>
      <c r="B23" s="17"/>
      <c r="C23" s="18"/>
      <c r="D23" s="19"/>
      <c r="E23" s="20"/>
      <c r="F23" s="19"/>
      <c r="G23" s="53"/>
      <c r="H23" s="54"/>
      <c r="J23" s="2">
        <f t="shared" si="0"/>
        <v>0</v>
      </c>
    </row>
    <row r="24" spans="1:10">
      <c r="A24" s="3"/>
      <c r="B24" s="17"/>
      <c r="C24" s="18"/>
      <c r="D24" s="19"/>
      <c r="E24" s="20"/>
      <c r="F24" s="19"/>
      <c r="G24" s="53"/>
      <c r="H24" s="54"/>
      <c r="J24" s="2">
        <f t="shared" si="0"/>
        <v>0</v>
      </c>
    </row>
    <row r="25" spans="1:10">
      <c r="A25" s="3"/>
      <c r="B25" s="17"/>
      <c r="C25" s="18"/>
      <c r="D25" s="19"/>
      <c r="E25" s="20"/>
      <c r="F25" s="19"/>
      <c r="G25" s="53"/>
      <c r="H25" s="54"/>
      <c r="J25" s="2">
        <f t="shared" si="0"/>
        <v>0</v>
      </c>
    </row>
    <row r="26" spans="1:10">
      <c r="A26" s="3"/>
      <c r="B26" s="17"/>
      <c r="C26" s="18"/>
      <c r="D26" s="19"/>
      <c r="E26" s="20"/>
      <c r="F26" s="19"/>
      <c r="G26" s="53"/>
      <c r="H26" s="54"/>
      <c r="J26" s="2">
        <f t="shared" si="0"/>
        <v>0</v>
      </c>
    </row>
    <row r="27" spans="1:10">
      <c r="A27" s="3"/>
      <c r="B27" s="17"/>
      <c r="C27" s="18"/>
      <c r="D27" s="19"/>
      <c r="E27" s="20"/>
      <c r="F27" s="19"/>
      <c r="G27" s="53"/>
      <c r="H27" s="54"/>
      <c r="J27" s="2">
        <f t="shared" si="0"/>
        <v>0</v>
      </c>
    </row>
    <row r="28" spans="1:10">
      <c r="A28" s="3"/>
      <c r="B28" s="17"/>
      <c r="C28" s="18"/>
      <c r="D28" s="19"/>
      <c r="E28" s="20"/>
      <c r="F28" s="19"/>
      <c r="G28" s="53"/>
      <c r="H28" s="54"/>
      <c r="J28" s="2">
        <f t="shared" si="0"/>
        <v>0</v>
      </c>
    </row>
    <row r="29" spans="1:10">
      <c r="A29" s="3"/>
      <c r="B29" s="17"/>
      <c r="C29" s="18"/>
      <c r="D29" s="19"/>
      <c r="E29" s="20"/>
      <c r="F29" s="19"/>
      <c r="G29" s="53"/>
      <c r="H29" s="54"/>
      <c r="J29" s="2">
        <f t="shared" si="0"/>
        <v>0</v>
      </c>
    </row>
    <row r="30" spans="1:10">
      <c r="A30" s="3"/>
      <c r="B30" s="17"/>
      <c r="C30" s="18"/>
      <c r="D30" s="19"/>
      <c r="E30" s="20"/>
      <c r="F30" s="19"/>
      <c r="G30" s="53"/>
      <c r="H30" s="54"/>
      <c r="J30" s="2">
        <f t="shared" si="0"/>
        <v>0</v>
      </c>
    </row>
    <row r="31" spans="1:10">
      <c r="A31" s="3"/>
      <c r="B31" s="17"/>
      <c r="C31" s="18"/>
      <c r="D31" s="19"/>
      <c r="E31" s="20"/>
      <c r="F31" s="19"/>
      <c r="G31" s="53"/>
      <c r="H31" s="54"/>
      <c r="J31" s="2">
        <f t="shared" si="0"/>
        <v>0</v>
      </c>
    </row>
    <row r="32" spans="1:10">
      <c r="A32" s="3"/>
      <c r="B32" s="17"/>
      <c r="C32" s="18"/>
      <c r="D32" s="19"/>
      <c r="E32" s="20"/>
      <c r="F32" s="19"/>
      <c r="G32" s="53"/>
      <c r="H32" s="54"/>
      <c r="J32" s="2">
        <f t="shared" si="0"/>
        <v>0</v>
      </c>
    </row>
    <row r="33" spans="1:12">
      <c r="A33" s="3"/>
      <c r="B33" s="17"/>
      <c r="C33" s="18"/>
      <c r="D33" s="19"/>
      <c r="E33" s="20"/>
      <c r="F33" s="19"/>
      <c r="G33" s="53"/>
      <c r="H33" s="54"/>
      <c r="J33" s="2">
        <f t="shared" si="0"/>
        <v>0</v>
      </c>
    </row>
    <row r="34" spans="1:12">
      <c r="A34" s="3"/>
      <c r="B34" s="17"/>
      <c r="C34" s="18"/>
      <c r="D34" s="19"/>
      <c r="E34" s="20"/>
      <c r="F34" s="19"/>
      <c r="G34" s="53"/>
      <c r="H34" s="54"/>
      <c r="J34" s="2">
        <f t="shared" si="0"/>
        <v>0</v>
      </c>
    </row>
    <row r="35" spans="1:12">
      <c r="A35" s="3"/>
      <c r="B35" s="17"/>
      <c r="C35" s="18"/>
      <c r="D35" s="19"/>
      <c r="E35" s="20"/>
      <c r="F35" s="19"/>
      <c r="G35" s="53"/>
      <c r="H35" s="54"/>
      <c r="J35" s="2">
        <f t="shared" si="0"/>
        <v>0</v>
      </c>
    </row>
    <row r="36" spans="1:12">
      <c r="A36" s="3"/>
      <c r="B36" s="17"/>
      <c r="C36" s="18"/>
      <c r="D36" s="19"/>
      <c r="E36" s="20"/>
      <c r="F36" s="19"/>
      <c r="G36" s="53"/>
      <c r="H36" s="54"/>
      <c r="J36" s="2">
        <f t="shared" si="0"/>
        <v>0</v>
      </c>
    </row>
    <row r="37" spans="1:12">
      <c r="A37" s="3"/>
      <c r="B37" s="17"/>
      <c r="C37" s="18"/>
      <c r="D37" s="19"/>
      <c r="E37" s="20"/>
      <c r="F37" s="19"/>
      <c r="G37" s="53"/>
      <c r="H37" s="54"/>
      <c r="J37" s="2">
        <f t="shared" si="0"/>
        <v>0</v>
      </c>
    </row>
    <row r="38" spans="1:12">
      <c r="A38" s="3"/>
      <c r="B38" s="17"/>
      <c r="C38" s="18"/>
      <c r="D38" s="19"/>
      <c r="E38" s="20"/>
      <c r="F38" s="19"/>
      <c r="G38" s="53"/>
      <c r="H38" s="54"/>
      <c r="J38" s="2">
        <f t="shared" si="0"/>
        <v>0</v>
      </c>
    </row>
    <row r="39" spans="1:12">
      <c r="A39" s="3"/>
      <c r="B39" s="17"/>
      <c r="C39" s="18"/>
      <c r="D39" s="19"/>
      <c r="E39" s="20"/>
      <c r="F39" s="19"/>
      <c r="G39" s="53"/>
      <c r="H39" s="54"/>
      <c r="J39" s="2">
        <f t="shared" si="0"/>
        <v>0</v>
      </c>
    </row>
    <row r="40" spans="1:12">
      <c r="A40" s="3"/>
      <c r="B40" s="17"/>
      <c r="C40" s="18"/>
      <c r="D40" s="19"/>
      <c r="E40" s="20"/>
      <c r="F40" s="19"/>
      <c r="G40" s="53"/>
      <c r="H40" s="54"/>
      <c r="J40" s="2">
        <f t="shared" si="0"/>
        <v>0</v>
      </c>
    </row>
    <row r="41" spans="1:12">
      <c r="A41" s="3"/>
      <c r="B41" s="17"/>
      <c r="C41" s="18"/>
      <c r="D41" s="19"/>
      <c r="E41" s="20"/>
      <c r="F41" s="19"/>
      <c r="G41" s="53"/>
      <c r="H41" s="54"/>
      <c r="J41" s="2">
        <f t="shared" si="0"/>
        <v>0</v>
      </c>
    </row>
    <row r="42" spans="1:12">
      <c r="A42" s="3"/>
      <c r="B42" s="21"/>
      <c r="C42" s="22"/>
      <c r="D42" s="23"/>
      <c r="E42" s="24"/>
      <c r="F42" s="23"/>
      <c r="G42" s="64"/>
      <c r="H42" s="65"/>
      <c r="J42" s="2">
        <f t="shared" si="0"/>
        <v>0</v>
      </c>
    </row>
    <row r="43" spans="1:12" ht="6.75" customHeight="1">
      <c r="A43" s="3"/>
      <c r="B43" s="1"/>
    </row>
    <row r="44" spans="1:12">
      <c r="A44" s="3"/>
      <c r="B44" s="48" t="s">
        <v>8</v>
      </c>
      <c r="C44" s="49"/>
      <c r="D44" s="49"/>
      <c r="E44" s="49"/>
      <c r="F44" s="49"/>
      <c r="G44" s="49"/>
      <c r="H44" s="49"/>
    </row>
    <row r="45" spans="1:12" ht="6.75" customHeight="1">
      <c r="A45" s="3"/>
      <c r="B45" s="1"/>
    </row>
    <row r="46" spans="1:12" ht="15.75" customHeight="1">
      <c r="A46" s="3"/>
      <c r="B46" s="63" t="s">
        <v>22</v>
      </c>
      <c r="C46" s="63"/>
      <c r="D46" s="63"/>
      <c r="E46" s="63"/>
      <c r="F46" s="63"/>
      <c r="G46" s="63"/>
      <c r="H46" s="63"/>
    </row>
    <row r="47" spans="1:12" s="28" customFormat="1" ht="49.5" customHeight="1">
      <c r="A47" s="25"/>
      <c r="B47" s="44" t="str">
        <f>"O Cliente acima qualificado e nos termos das cláusulas gerais do contrato de adesão ao serviço móvel pessoal pós-pago, do termo de solicitação de serviço móvel pessoal - pessoa jurídica e demais documentos"&amp;" aplicáveis às relações contratuais entre Telefonica|VIVO e o cliente, designam o(s) gestor(es) acima qualificado(s), assim como a chave de email criada e gerenciada pelo próprio cliente: "&amp;C11&amp;" para representá-lo perante a Telefonica|VIVO."</f>
        <v>O Cliente acima qualificado e nos termos das cláusulas gerais do contrato de adesão ao serviço móvel pessoal pós-pago, do termo de solicitação de serviço móvel pessoal - pessoa jurídica e demais documentos aplicáveis às relações contratuais entre Telefonica|VIVO e o cliente, designam o(s) gestor(es) acima qualificado(s), assim como a chave de email criada e gerenciada pelo próprio cliente:  para representá-lo perante a Telefonica|VIVO.</v>
      </c>
      <c r="C47" s="44"/>
      <c r="D47" s="44"/>
      <c r="E47" s="44"/>
      <c r="F47" s="44"/>
      <c r="G47" s="44"/>
      <c r="H47" s="44"/>
      <c r="I47" s="38"/>
      <c r="J47" s="27"/>
      <c r="K47" s="26"/>
      <c r="L47" s="26"/>
    </row>
    <row r="48" spans="1:12" s="28" customFormat="1" ht="81.75" customHeight="1">
      <c r="A48" s="25"/>
      <c r="B48" s="63" t="s">
        <v>18</v>
      </c>
      <c r="C48" s="63"/>
      <c r="D48" s="63"/>
      <c r="E48" s="63"/>
      <c r="F48" s="63"/>
      <c r="G48" s="63"/>
      <c r="H48" s="63"/>
      <c r="I48" s="38"/>
      <c r="J48" s="27"/>
      <c r="K48" s="26"/>
      <c r="L48" s="26"/>
    </row>
    <row r="49" spans="1:12" s="28" customFormat="1" ht="34.5" customHeight="1">
      <c r="A49" s="25"/>
      <c r="B49" s="44" t="s">
        <v>9</v>
      </c>
      <c r="C49" s="44"/>
      <c r="D49" s="44"/>
      <c r="E49" s="44"/>
      <c r="F49" s="44"/>
      <c r="G49" s="44"/>
      <c r="H49" s="44"/>
      <c r="I49" s="38"/>
      <c r="J49" s="27"/>
      <c r="K49" s="26"/>
      <c r="L49" s="26"/>
    </row>
    <row r="50" spans="1:12" s="28" customFormat="1">
      <c r="A50" s="25"/>
      <c r="B50" s="44" t="s">
        <v>19</v>
      </c>
      <c r="C50" s="44"/>
      <c r="D50" s="44"/>
      <c r="E50" s="44"/>
      <c r="F50" s="44"/>
      <c r="G50" s="44"/>
      <c r="H50" s="44"/>
      <c r="I50" s="38"/>
      <c r="J50" s="27"/>
      <c r="K50" s="26"/>
      <c r="L50" s="26"/>
    </row>
    <row r="51" spans="1:12" s="28" customFormat="1">
      <c r="A51" s="25"/>
      <c r="B51" s="31"/>
      <c r="C51" s="31"/>
      <c r="D51" s="31"/>
      <c r="E51" s="31"/>
      <c r="F51" s="31"/>
      <c r="G51" s="31"/>
      <c r="H51" s="31"/>
      <c r="I51" s="38"/>
      <c r="J51" s="27"/>
      <c r="K51" s="26"/>
      <c r="L51" s="26"/>
    </row>
    <row r="52" spans="1:12" s="28" customFormat="1">
      <c r="A52" s="25"/>
      <c r="B52" s="31"/>
      <c r="C52" s="31"/>
      <c r="D52" s="31"/>
      <c r="E52" s="31"/>
      <c r="F52" s="31"/>
      <c r="G52" s="31"/>
      <c r="H52" s="31"/>
      <c r="I52" s="38"/>
      <c r="J52" s="27"/>
      <c r="K52" s="26"/>
      <c r="L52" s="26"/>
    </row>
    <row r="53" spans="1:12" s="28" customFormat="1">
      <c r="A53" s="25"/>
      <c r="B53" s="31"/>
      <c r="C53" s="31"/>
      <c r="D53" s="31"/>
      <c r="E53" s="31"/>
      <c r="F53" s="31"/>
      <c r="G53" s="31"/>
      <c r="H53" s="31"/>
      <c r="I53" s="38"/>
      <c r="J53" s="27"/>
      <c r="K53" s="26"/>
      <c r="L53" s="26"/>
    </row>
    <row r="54" spans="1:12" s="28" customFormat="1">
      <c r="A54" s="25"/>
      <c r="B54" s="31"/>
      <c r="C54" s="31"/>
      <c r="D54" s="31"/>
      <c r="E54" s="31"/>
      <c r="F54" s="31"/>
      <c r="G54" s="31"/>
      <c r="H54" s="31"/>
      <c r="I54" s="38"/>
      <c r="J54" s="27"/>
      <c r="K54" s="26"/>
      <c r="L54" s="26"/>
    </row>
    <row r="55" spans="1:12" s="28" customFormat="1">
      <c r="A55" s="25"/>
      <c r="B55" s="67"/>
      <c r="C55" s="67"/>
      <c r="D55" s="31"/>
      <c r="E55" s="67"/>
      <c r="F55" s="67"/>
      <c r="G55" s="67"/>
      <c r="H55" s="67"/>
      <c r="I55" s="38"/>
      <c r="J55" s="27"/>
      <c r="K55" s="26"/>
      <c r="L55" s="26"/>
    </row>
    <row r="56" spans="1:12" s="28" customFormat="1">
      <c r="A56" s="25"/>
      <c r="B56" s="32" t="s">
        <v>17</v>
      </c>
      <c r="C56" s="33"/>
      <c r="D56" s="31"/>
      <c r="E56" s="32" t="s">
        <v>13</v>
      </c>
      <c r="F56" s="32"/>
      <c r="G56" s="32"/>
      <c r="H56" s="32"/>
      <c r="I56" s="38"/>
      <c r="J56" s="27"/>
      <c r="K56" s="26"/>
      <c r="L56" s="26"/>
    </row>
    <row r="57" spans="1:12" s="28" customFormat="1">
      <c r="A57" s="25"/>
      <c r="B57" s="43" t="s">
        <v>14</v>
      </c>
      <c r="C57" s="40"/>
      <c r="D57" s="31"/>
      <c r="E57" s="43" t="s">
        <v>14</v>
      </c>
      <c r="F57" s="66"/>
      <c r="G57" s="66"/>
      <c r="H57" s="66"/>
      <c r="I57" s="38"/>
      <c r="J57" s="27"/>
      <c r="K57" s="26"/>
      <c r="L57" s="26"/>
    </row>
    <row r="58" spans="1:12">
      <c r="A58" s="3"/>
      <c r="B58" s="43" t="s">
        <v>15</v>
      </c>
      <c r="C58" s="41"/>
      <c r="D58" s="29"/>
      <c r="E58" s="43" t="s">
        <v>15</v>
      </c>
      <c r="F58" s="66"/>
      <c r="G58" s="66"/>
      <c r="H58" s="66"/>
    </row>
    <row r="59" spans="1:12" ht="15.75" customHeight="1">
      <c r="A59" s="30"/>
      <c r="B59" s="67"/>
      <c r="C59" s="67"/>
      <c r="D59" s="29"/>
      <c r="E59" s="67"/>
      <c r="F59" s="67"/>
      <c r="G59" s="67"/>
      <c r="H59" s="67"/>
    </row>
    <row r="60" spans="1:12" ht="15.75" customHeight="1">
      <c r="A60" s="30"/>
      <c r="B60" s="32" t="s">
        <v>17</v>
      </c>
      <c r="C60" s="33"/>
      <c r="D60" s="29"/>
      <c r="E60" s="32" t="s">
        <v>16</v>
      </c>
      <c r="F60" s="32"/>
      <c r="G60" s="32"/>
      <c r="H60" s="32"/>
    </row>
    <row r="61" spans="1:12" ht="15.75" customHeight="1">
      <c r="A61" s="30"/>
      <c r="B61" s="43" t="s">
        <v>14</v>
      </c>
      <c r="C61" s="42"/>
      <c r="D61" s="29"/>
      <c r="E61" s="43" t="s">
        <v>14</v>
      </c>
      <c r="F61" s="66"/>
      <c r="G61" s="66"/>
      <c r="H61" s="66"/>
    </row>
    <row r="62" spans="1:12" ht="15.75" customHeight="1">
      <c r="B62" s="43" t="s">
        <v>15</v>
      </c>
      <c r="C62" s="42"/>
      <c r="E62" s="43" t="s">
        <v>15</v>
      </c>
      <c r="F62" s="66"/>
      <c r="G62" s="66"/>
      <c r="H62" s="66"/>
    </row>
    <row r="63" spans="1:12" ht="15.75" customHeight="1">
      <c r="E63" s="67"/>
      <c r="F63" s="67"/>
      <c r="G63" s="67"/>
      <c r="H63" s="67"/>
    </row>
    <row r="64" spans="1:12" ht="15.75" customHeight="1">
      <c r="B64" s="68" t="s">
        <v>20</v>
      </c>
      <c r="C64" s="68"/>
      <c r="E64" s="32" t="s">
        <v>16</v>
      </c>
      <c r="F64" s="32"/>
      <c r="G64" s="32"/>
      <c r="H64" s="32"/>
    </row>
    <row r="65" spans="2:8" ht="15.75" customHeight="1">
      <c r="B65" s="68"/>
      <c r="C65" s="68"/>
      <c r="E65" s="31" t="s">
        <v>14</v>
      </c>
      <c r="F65" s="66"/>
      <c r="G65" s="66"/>
      <c r="H65" s="66"/>
    </row>
    <row r="66" spans="2:8" ht="15.75" customHeight="1">
      <c r="B66" s="68"/>
      <c r="C66" s="68"/>
      <c r="E66" s="31" t="s">
        <v>15</v>
      </c>
      <c r="F66" s="66"/>
      <c r="G66" s="66"/>
      <c r="H66" s="66"/>
    </row>
    <row r="67" spans="2:8" ht="15.75" customHeight="1">
      <c r="H67" s="39"/>
    </row>
    <row r="68" spans="2:8" ht="15.75" customHeight="1">
      <c r="H68" s="39"/>
    </row>
    <row r="69" spans="2:8" ht="15.75" customHeight="1">
      <c r="H69" s="35"/>
    </row>
    <row r="70" spans="2:8" ht="15.75" hidden="1" customHeight="1">
      <c r="H70" s="35">
        <f>IFERROR(IF(SEARCH("VPE XXXXXXXX - XXX/1X",B46)&lt;&gt;0,1),0)</f>
        <v>0</v>
      </c>
    </row>
    <row r="71" spans="2:8" ht="15.75" hidden="1" customHeight="1">
      <c r="H71" s="35">
        <f>IFERROR(IF(SEARCH("VPE XXXXXXXX - XXX/1X",B2)&lt;&gt;0,1),0)</f>
        <v>0</v>
      </c>
    </row>
    <row r="72" spans="2:8" ht="15.75" hidden="1" customHeight="1">
      <c r="H72" s="35"/>
    </row>
    <row r="73" spans="2:8" ht="15.75" hidden="1" customHeight="1">
      <c r="H73" s="35"/>
    </row>
    <row r="74" spans="2:8" ht="15.75" hidden="1" customHeight="1">
      <c r="H74" s="35"/>
    </row>
    <row r="75" spans="2:8" ht="15.75" hidden="1" customHeight="1">
      <c r="H75" s="39"/>
    </row>
    <row r="76" spans="2:8" ht="15.75" hidden="1" customHeight="1">
      <c r="H76" s="39"/>
    </row>
    <row r="77" spans="2:8" ht="15.75" hidden="1" customHeight="1">
      <c r="H77" s="39"/>
    </row>
    <row r="78" spans="2:8" ht="15.75" hidden="1" customHeight="1">
      <c r="H78" s="39"/>
    </row>
    <row r="79" spans="2:8" ht="15.75" hidden="1" customHeight="1">
      <c r="H79" s="39"/>
    </row>
    <row r="80" spans="2:8" ht="15.75" hidden="1" customHeight="1">
      <c r="H80" s="39"/>
    </row>
    <row r="81" spans="8:8" ht="15.75" hidden="1" customHeight="1">
      <c r="H81" s="39"/>
    </row>
    <row r="82" spans="8:8" ht="15.75" hidden="1" customHeight="1">
      <c r="H82" s="39"/>
    </row>
    <row r="83" spans="8:8" ht="15.75" hidden="1" customHeight="1">
      <c r="H83" s="39"/>
    </row>
    <row r="84" spans="8:8" ht="15.75" hidden="1" customHeight="1">
      <c r="H84" s="39"/>
    </row>
    <row r="85" spans="8:8" ht="15.75" hidden="1" customHeight="1">
      <c r="H85" s="39"/>
    </row>
    <row r="86" spans="8:8" ht="15.75" hidden="1" customHeight="1">
      <c r="H86" s="39"/>
    </row>
    <row r="87" spans="8:8" ht="15.75" hidden="1" customHeight="1"/>
  </sheetData>
  <sheetProtection password="E5E7" sheet="1" objects="1" scenarios="1"/>
  <mergeCells count="56">
    <mergeCell ref="F65:H65"/>
    <mergeCell ref="F66:H66"/>
    <mergeCell ref="B55:C55"/>
    <mergeCell ref="B59:C59"/>
    <mergeCell ref="E55:H55"/>
    <mergeCell ref="E59:H59"/>
    <mergeCell ref="E63:H63"/>
    <mergeCell ref="F57:H57"/>
    <mergeCell ref="F58:H58"/>
    <mergeCell ref="F61:H61"/>
    <mergeCell ref="F62:H62"/>
    <mergeCell ref="B64:C66"/>
    <mergeCell ref="B49:H49"/>
    <mergeCell ref="B46:H46"/>
    <mergeCell ref="G35:H35"/>
    <mergeCell ref="G36:H36"/>
    <mergeCell ref="G37:H37"/>
    <mergeCell ref="G38:H38"/>
    <mergeCell ref="G39:H39"/>
    <mergeCell ref="G40:H40"/>
    <mergeCell ref="G41:H41"/>
    <mergeCell ref="G42:H42"/>
    <mergeCell ref="B44:H44"/>
    <mergeCell ref="B47:H47"/>
    <mergeCell ref="B48:H48"/>
    <mergeCell ref="G19:H19"/>
    <mergeCell ref="G20:H20"/>
    <mergeCell ref="G21:H21"/>
    <mergeCell ref="G34:H34"/>
    <mergeCell ref="G23:H23"/>
    <mergeCell ref="G24:H24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B50:H50"/>
    <mergeCell ref="B2:H2"/>
    <mergeCell ref="B4:H4"/>
    <mergeCell ref="B6:E6"/>
    <mergeCell ref="F6:H6"/>
    <mergeCell ref="B7:E7"/>
    <mergeCell ref="F7:H7"/>
    <mergeCell ref="G22:H22"/>
    <mergeCell ref="B9:H9"/>
    <mergeCell ref="C11:E11"/>
    <mergeCell ref="G13:H13"/>
    <mergeCell ref="G14:H14"/>
    <mergeCell ref="G15:H15"/>
    <mergeCell ref="G16:H16"/>
    <mergeCell ref="G17:H17"/>
    <mergeCell ref="G18:H18"/>
  </mergeCells>
  <conditionalFormatting sqref="B7:H7">
    <cfRule type="containsBlanks" dxfId="1" priority="2">
      <formula>LEN(TRIM(B7))=0</formula>
    </cfRule>
  </conditionalFormatting>
  <conditionalFormatting sqref="B64:C66">
    <cfRule type="expression" dxfId="0" priority="1">
      <formula>$I$2=0</formula>
    </cfRule>
  </conditionalFormatting>
  <printOptions horizontalCentered="1"/>
  <pageMargins left="0.23622047244094491" right="0.23622047244094491" top="0.39370078740157483" bottom="0.31496062992125984" header="0.31496062992125984" footer="0.31496062992125984"/>
  <pageSetup paperSize="9" scale="57" orientation="portrait" r:id="rId1"/>
</worksheet>
</file>

<file path=customUI/customUI.xml><?xml version="1.0" encoding="utf-8"?>
<customUI xmlns="http://schemas.microsoft.com/office/2006/01/customui">
  <!-- Adicionar uma nova guia -->
  <!-- Inserir Botões e separador-->
  <ribbon startFromScratch="true">
    <tabs>
      <tab id="customTab1" label="Contrato Móvel" insertBeforeMso="TabHome">
        <group id="CG_Auxiliares" label="Auxiliares" insertBeforeMso="GroupFont">
          <button idMso="FileSaveAs" label="Salvar Como"/>
          <button idMso="PasteValues" label="Colar" imageMso="MoveToFolder"/>
          <button idMso="Copy" label="Copiar"/>
        </group>
        <group id="customGroup1" label=" Ferramentas " insertBeforeMso="GroupFont">
          <button id="Termo_SMP" label="Gerar PDF" size="large" onAction="Criar_PDF" imageMso="CreateHandoutsInWord"/>
          <button id="NrContrato" label="Número do Contrato" size="large" onAction="Nr_Contrato" imageMso="WordArtEditTextClassic"/>
        </group>
      </tab>
      <!-- Ocultar guias -->
      <tab idMso="TabHome" visible="false"/>
      <tab idMso="TabInsert" visible="false"/>
      <tab idMso="TabPageLayoutExcel" visible="false"/>
      <tab idMso="TabFormulas" visible="false"/>
      <tab idMso="TabData" visible="false"/>
      <tab idMso="TabReview" visible="false"/>
      <tab idMso="TabView" visible="false"/>
      <tab idMso="TabDeveloper" visible="false"/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IV</vt:lpstr>
      <vt:lpstr>Limpar5</vt:lpstr>
      <vt:lpstr>Proc_Cli</vt:lpstr>
    </vt:vector>
  </TitlesOfParts>
  <Company>VIVO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A0030296</dc:creator>
  <cp:lastModifiedBy>Rodrigo Teodoro</cp:lastModifiedBy>
  <cp:lastPrinted>2015-01-20T13:41:29Z</cp:lastPrinted>
  <dcterms:created xsi:type="dcterms:W3CDTF">2014-07-01T13:07:46Z</dcterms:created>
  <dcterms:modified xsi:type="dcterms:W3CDTF">2018-06-06T13:08:53Z</dcterms:modified>
</cp:coreProperties>
</file>